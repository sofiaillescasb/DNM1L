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sjdbcn.es\dfsroot\Recursos\metabolismosinaptico\ULIANA\TESIS\DNM1L\ICC_DNM1L\CONFOCAL\"/>
    </mc:Choice>
  </mc:AlternateContent>
  <bookViews>
    <workbookView xWindow="0" yWindow="0" windowWidth="28800" windowHeight="12300" activeTab="7"/>
  </bookViews>
  <sheets>
    <sheet name="parámetros" sheetId="1" r:id="rId1"/>
    <sheet name="Control" sheetId="3" r:id="rId2"/>
    <sheet name="MT8740" sheetId="5" r:id="rId3"/>
    <sheet name="MT7683" sheetId="6" r:id="rId4"/>
    <sheet name="MT3373" sheetId="7" r:id="rId5"/>
    <sheet name="1506257" sheetId="8" r:id="rId6"/>
    <sheet name="EXT202203" sheetId="9" r:id="rId7"/>
    <sheet name="ANALISIS" sheetId="4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8" i="4" l="1"/>
  <c r="EA61" i="4" l="1"/>
  <c r="C61" i="4" l="1"/>
  <c r="EE61" i="4" l="1"/>
  <c r="ED61" i="4"/>
  <c r="EC61" i="4"/>
  <c r="EB61" i="4"/>
  <c r="EE60" i="4"/>
  <c r="ED60" i="4"/>
  <c r="EC60" i="4"/>
  <c r="EB60" i="4"/>
  <c r="EA60" i="4"/>
  <c r="DZ60" i="4"/>
  <c r="EE58" i="4"/>
  <c r="ED58" i="4"/>
  <c r="EC58" i="4"/>
  <c r="EB58" i="4"/>
  <c r="EA58" i="4"/>
  <c r="DZ58" i="4"/>
  <c r="DZ59" i="4" s="1"/>
  <c r="DW61" i="4"/>
  <c r="DV61" i="4"/>
  <c r="DU61" i="4"/>
  <c r="DT61" i="4"/>
  <c r="DS61" i="4"/>
  <c r="DW60" i="4"/>
  <c r="DV60" i="4"/>
  <c r="DU60" i="4"/>
  <c r="DT60" i="4"/>
  <c r="DS60" i="4"/>
  <c r="DR60" i="4"/>
  <c r="DW58" i="4"/>
  <c r="DV58" i="4"/>
  <c r="DU58" i="4"/>
  <c r="DT58" i="4"/>
  <c r="DS58" i="4"/>
  <c r="DR58" i="4"/>
  <c r="DR59" i="4" s="1"/>
  <c r="DO61" i="4"/>
  <c r="DN61" i="4"/>
  <c r="DM61" i="4"/>
  <c r="DL61" i="4"/>
  <c r="DK61" i="4"/>
  <c r="DO60" i="4"/>
  <c r="DN60" i="4"/>
  <c r="DM60" i="4"/>
  <c r="DL60" i="4"/>
  <c r="DK60" i="4"/>
  <c r="DJ60" i="4"/>
  <c r="DO58" i="4"/>
  <c r="DN58" i="4"/>
  <c r="DM58" i="4"/>
  <c r="DL58" i="4"/>
  <c r="DK58" i="4"/>
  <c r="DJ58" i="4"/>
  <c r="DJ59" i="4" s="1"/>
  <c r="DG61" i="4"/>
  <c r="DF61" i="4"/>
  <c r="DE61" i="4"/>
  <c r="DD61" i="4"/>
  <c r="DC61" i="4"/>
  <c r="DG60" i="4"/>
  <c r="DF60" i="4"/>
  <c r="DE60" i="4"/>
  <c r="DD60" i="4"/>
  <c r="DC60" i="4"/>
  <c r="DB60" i="4"/>
  <c r="DG58" i="4"/>
  <c r="DF58" i="4"/>
  <c r="DE58" i="4"/>
  <c r="DD58" i="4"/>
  <c r="DC58" i="4"/>
  <c r="DB58" i="4"/>
  <c r="DB59" i="4" s="1"/>
  <c r="CY61" i="4"/>
  <c r="CX61" i="4"/>
  <c r="CW61" i="4"/>
  <c r="CV61" i="4"/>
  <c r="CU61" i="4"/>
  <c r="CY60" i="4"/>
  <c r="CX60" i="4"/>
  <c r="CW60" i="4"/>
  <c r="CV60" i="4"/>
  <c r="CU60" i="4"/>
  <c r="CT60" i="4"/>
  <c r="CY58" i="4"/>
  <c r="CX58" i="4"/>
  <c r="CW58" i="4"/>
  <c r="CV58" i="4"/>
  <c r="CU58" i="4"/>
  <c r="CT58" i="4"/>
  <c r="CT59" i="4" s="1"/>
  <c r="CQ61" i="4"/>
  <c r="CP61" i="4"/>
  <c r="CO61" i="4"/>
  <c r="CN61" i="4"/>
  <c r="CM61" i="4"/>
  <c r="CQ60" i="4"/>
  <c r="CP60" i="4"/>
  <c r="CO60" i="4"/>
  <c r="CN60" i="4"/>
  <c r="CM60" i="4"/>
  <c r="CL60" i="4"/>
  <c r="CQ58" i="4"/>
  <c r="CP58" i="4"/>
  <c r="CO58" i="4"/>
  <c r="CN58" i="4"/>
  <c r="CM58" i="4"/>
  <c r="CL58" i="4"/>
  <c r="CL59" i="4" s="1"/>
  <c r="CI61" i="4"/>
  <c r="CH61" i="4"/>
  <c r="CG61" i="4"/>
  <c r="CF61" i="4"/>
  <c r="CE61" i="4"/>
  <c r="CI60" i="4"/>
  <c r="CH60" i="4"/>
  <c r="CG60" i="4"/>
  <c r="CF60" i="4"/>
  <c r="CE60" i="4"/>
  <c r="CD60" i="4"/>
  <c r="CI58" i="4"/>
  <c r="CH58" i="4"/>
  <c r="CG58" i="4"/>
  <c r="CF58" i="4"/>
  <c r="CE58" i="4"/>
  <c r="CD58" i="4"/>
  <c r="CD59" i="4" s="1"/>
  <c r="CA61" i="4"/>
  <c r="BZ61" i="4"/>
  <c r="BY61" i="4"/>
  <c r="BX61" i="4"/>
  <c r="BW61" i="4"/>
  <c r="CA60" i="4"/>
  <c r="BZ60" i="4"/>
  <c r="BY60" i="4"/>
  <c r="BX60" i="4"/>
  <c r="BW60" i="4"/>
  <c r="BV60" i="4"/>
  <c r="CA58" i="4"/>
  <c r="BZ58" i="4"/>
  <c r="BY58" i="4"/>
  <c r="BX58" i="4"/>
  <c r="BW58" i="4"/>
  <c r="BV58" i="4"/>
  <c r="BV59" i="4" s="1"/>
  <c r="BS61" i="4"/>
  <c r="BR61" i="4"/>
  <c r="BQ61" i="4"/>
  <c r="BP61" i="4"/>
  <c r="BO61" i="4"/>
  <c r="BS60" i="4"/>
  <c r="BR60" i="4"/>
  <c r="BQ60" i="4"/>
  <c r="BP60" i="4"/>
  <c r="BO60" i="4"/>
  <c r="BN60" i="4"/>
  <c r="BS58" i="4"/>
  <c r="BR58" i="4"/>
  <c r="BQ58" i="4"/>
  <c r="BP58" i="4"/>
  <c r="BO58" i="4"/>
  <c r="BN58" i="4"/>
  <c r="BN59" i="4" s="1"/>
  <c r="BK61" i="4"/>
  <c r="BJ61" i="4"/>
  <c r="BI61" i="4"/>
  <c r="BH61" i="4"/>
  <c r="BG61" i="4"/>
  <c r="BK60" i="4"/>
  <c r="BJ60" i="4"/>
  <c r="BI60" i="4"/>
  <c r="BH60" i="4"/>
  <c r="BG60" i="4"/>
  <c r="BF60" i="4"/>
  <c r="BK58" i="4"/>
  <c r="BJ58" i="4"/>
  <c r="BI58" i="4"/>
  <c r="BH58" i="4"/>
  <c r="BG58" i="4"/>
  <c r="BF58" i="4"/>
  <c r="BF59" i="4" s="1"/>
  <c r="BC61" i="4"/>
  <c r="BB61" i="4"/>
  <c r="BA61" i="4"/>
  <c r="AZ61" i="4"/>
  <c r="AY61" i="4"/>
  <c r="BC60" i="4"/>
  <c r="BB60" i="4"/>
  <c r="BA60" i="4"/>
  <c r="AZ60" i="4"/>
  <c r="AY60" i="4"/>
  <c r="AX60" i="4"/>
  <c r="BC58" i="4"/>
  <c r="BB58" i="4"/>
  <c r="BA58" i="4"/>
  <c r="AZ58" i="4"/>
  <c r="AY58" i="4"/>
  <c r="AX58" i="4"/>
  <c r="AX59" i="4" s="1"/>
  <c r="AU61" i="4"/>
  <c r="AT61" i="4"/>
  <c r="AS61" i="4"/>
  <c r="AR61" i="4"/>
  <c r="AQ61" i="4"/>
  <c r="AU60" i="4"/>
  <c r="AT60" i="4"/>
  <c r="AS60" i="4"/>
  <c r="AR60" i="4"/>
  <c r="AQ60" i="4"/>
  <c r="AP60" i="4"/>
  <c r="AU58" i="4"/>
  <c r="AT58" i="4"/>
  <c r="AS58" i="4"/>
  <c r="AR58" i="4"/>
  <c r="AQ58" i="4"/>
  <c r="AP58" i="4"/>
  <c r="AP59" i="4" s="1"/>
  <c r="AM61" i="4"/>
  <c r="AL61" i="4"/>
  <c r="AK61" i="4"/>
  <c r="AJ61" i="4"/>
  <c r="AI61" i="4"/>
  <c r="AM60" i="4"/>
  <c r="AL60" i="4"/>
  <c r="AK60" i="4"/>
  <c r="AJ60" i="4"/>
  <c r="AI60" i="4"/>
  <c r="AH60" i="4"/>
  <c r="AM58" i="4"/>
  <c r="AL58" i="4"/>
  <c r="AK58" i="4"/>
  <c r="AJ58" i="4"/>
  <c r="AI58" i="4"/>
  <c r="AH58" i="4"/>
  <c r="AE61" i="4"/>
  <c r="AD61" i="4"/>
  <c r="AC61" i="4"/>
  <c r="AB61" i="4"/>
  <c r="AA61" i="4"/>
  <c r="AE60" i="4"/>
  <c r="AD60" i="4"/>
  <c r="AC60" i="4"/>
  <c r="AB60" i="4"/>
  <c r="AA60" i="4"/>
  <c r="Z60" i="4"/>
  <c r="AE58" i="4"/>
  <c r="AD58" i="4"/>
  <c r="AC58" i="4"/>
  <c r="AB58" i="4"/>
  <c r="AA58" i="4"/>
  <c r="Z58" i="4"/>
  <c r="Z59" i="4" s="1"/>
  <c r="W61" i="4"/>
  <c r="V61" i="4"/>
  <c r="U61" i="4"/>
  <c r="T61" i="4"/>
  <c r="S61" i="4"/>
  <c r="W60" i="4"/>
  <c r="V60" i="4"/>
  <c r="U60" i="4"/>
  <c r="T60" i="4"/>
  <c r="S60" i="4"/>
  <c r="R60" i="4"/>
  <c r="W58" i="4"/>
  <c r="V58" i="4"/>
  <c r="U58" i="4"/>
  <c r="T58" i="4"/>
  <c r="S58" i="4"/>
  <c r="R58" i="4"/>
  <c r="R59" i="4" s="1"/>
  <c r="O61" i="4"/>
  <c r="N61" i="4"/>
  <c r="M61" i="4"/>
  <c r="L61" i="4"/>
  <c r="K61" i="4"/>
  <c r="O60" i="4"/>
  <c r="N60" i="4"/>
  <c r="M60" i="4"/>
  <c r="L60" i="4"/>
  <c r="K60" i="4"/>
  <c r="J60" i="4"/>
  <c r="O58" i="4"/>
  <c r="N58" i="4"/>
  <c r="M58" i="4"/>
  <c r="L58" i="4"/>
  <c r="K58" i="4"/>
  <c r="J58" i="4"/>
  <c r="J59" i="4" s="1"/>
  <c r="G61" i="4"/>
  <c r="G60" i="4"/>
  <c r="G58" i="4"/>
  <c r="F58" i="4"/>
  <c r="CQ59" i="4" l="1"/>
  <c r="BA59" i="4"/>
  <c r="CG59" i="4"/>
  <c r="AM59" i="4"/>
  <c r="DG59" i="4"/>
  <c r="DU59" i="4"/>
  <c r="BC59" i="4"/>
  <c r="BJ59" i="4"/>
  <c r="BR59" i="4"/>
  <c r="BS59" i="4"/>
  <c r="DC59" i="4"/>
  <c r="DE59" i="4"/>
  <c r="CM59" i="4"/>
  <c r="CE59" i="4"/>
  <c r="BX59" i="4"/>
  <c r="BO59" i="4"/>
  <c r="AY59" i="4"/>
  <c r="S59" i="4"/>
  <c r="U59" i="4"/>
  <c r="K59" i="4"/>
  <c r="AU59" i="4"/>
  <c r="BB59" i="4"/>
  <c r="BI59" i="4"/>
  <c r="BW59" i="4"/>
  <c r="CY59" i="4"/>
  <c r="DF59" i="4"/>
  <c r="EA59" i="4"/>
  <c r="M59" i="4"/>
  <c r="T59" i="4"/>
  <c r="AA59" i="4"/>
  <c r="BK59" i="4"/>
  <c r="BY59" i="4"/>
  <c r="CF59" i="4"/>
  <c r="DO59" i="4"/>
  <c r="DV59" i="4"/>
  <c r="EC59" i="4"/>
  <c r="L59" i="4"/>
  <c r="BZ59" i="4"/>
  <c r="DW59" i="4"/>
  <c r="O59" i="4"/>
  <c r="V59" i="4"/>
  <c r="AC59" i="4"/>
  <c r="CA59" i="4"/>
  <c r="CU59" i="4"/>
  <c r="EE59" i="4"/>
  <c r="N59" i="4"/>
  <c r="W59" i="4"/>
  <c r="AK59" i="4"/>
  <c r="CI59" i="4"/>
  <c r="CO59" i="4"/>
  <c r="AB59" i="4"/>
  <c r="AE59" i="4"/>
  <c r="AL59" i="4"/>
  <c r="AZ59" i="4"/>
  <c r="BG59" i="4"/>
  <c r="CH59" i="4"/>
  <c r="CW59" i="4"/>
  <c r="DK59" i="4"/>
  <c r="CX59" i="4"/>
  <c r="DS59" i="4"/>
  <c r="AJ59" i="4"/>
  <c r="EB59" i="4"/>
  <c r="ED59" i="4"/>
  <c r="DT59" i="4"/>
  <c r="DN59" i="4"/>
  <c r="DL59" i="4"/>
  <c r="DM59" i="4"/>
  <c r="DD59" i="4"/>
  <c r="CV59" i="4"/>
  <c r="CN59" i="4"/>
  <c r="CP59" i="4"/>
  <c r="BQ59" i="4"/>
  <c r="BP59" i="4"/>
  <c r="BH59" i="4"/>
  <c r="AS59" i="4"/>
  <c r="AT59" i="4"/>
  <c r="AQ59" i="4"/>
  <c r="AR59" i="4"/>
  <c r="AH59" i="4"/>
  <c r="AI59" i="4"/>
  <c r="AD59" i="4"/>
  <c r="D58" i="4" l="1"/>
  <c r="G59" i="4"/>
  <c r="F61" i="4"/>
  <c r="E61" i="4"/>
  <c r="D61" i="4"/>
  <c r="F60" i="4"/>
  <c r="E60" i="4"/>
  <c r="D60" i="4"/>
  <c r="C60" i="4"/>
  <c r="B60" i="4"/>
  <c r="E58" i="4"/>
  <c r="C58" i="4"/>
  <c r="D59" i="4" l="1"/>
  <c r="E59" i="4"/>
  <c r="C59" i="4"/>
  <c r="F59" i="4"/>
  <c r="B59" i="4"/>
</calcChain>
</file>

<file path=xl/comments1.xml><?xml version="1.0" encoding="utf-8"?>
<comments xmlns="http://schemas.openxmlformats.org/spreadsheetml/2006/main">
  <authors>
    <author>Uliana Musokhranova</author>
  </authors>
  <commentList>
    <comment ref="B11" authorId="0" shapeId="0">
      <text>
        <r>
          <rPr>
            <b/>
            <sz val="9"/>
            <color indexed="81"/>
            <rFont val="Tahoma"/>
            <family val="2"/>
          </rPr>
          <t>Uliana Musokhranova:</t>
        </r>
        <r>
          <rPr>
            <sz val="9"/>
            <color indexed="81"/>
            <rFont val="Tahoma"/>
            <family val="2"/>
          </rPr>
          <t xml:space="preserve">
se ven muchos puntos</t>
        </r>
      </text>
    </comment>
  </commentList>
</comments>
</file>

<file path=xl/sharedStrings.xml><?xml version="1.0" encoding="utf-8"?>
<sst xmlns="http://schemas.openxmlformats.org/spreadsheetml/2006/main" count="891" uniqueCount="202">
  <si>
    <t>Image name</t>
  </si>
  <si>
    <t>Count</t>
  </si>
  <si>
    <t>Total area</t>
  </si>
  <si>
    <t>Mean area</t>
  </si>
  <si>
    <t>Total perimeter</t>
  </si>
  <si>
    <t>Mean perimeter</t>
  </si>
  <si>
    <t>Mean aspect ratio</t>
  </si>
  <si>
    <t>Mean form factor</t>
  </si>
  <si>
    <t>Branches</t>
  </si>
  <si>
    <t>Branches/mito</t>
  </si>
  <si>
    <t>Total branch length</t>
  </si>
  <si>
    <t>Total branch length/mito</t>
  </si>
  <si>
    <t>Mean branch length</t>
  </si>
  <si>
    <t>Branch junctions</t>
  </si>
  <si>
    <t>Branch junctions/mito</t>
  </si>
  <si>
    <t>Branch end points</t>
  </si>
  <si>
    <t>Branch end points/mito</t>
  </si>
  <si>
    <t>Mean branch diameter</t>
  </si>
  <si>
    <t>Fecha adquisición</t>
  </si>
  <si>
    <t>PER CELL</t>
  </si>
  <si>
    <t>Block size 1.45 um</t>
  </si>
  <si>
    <t>C-value 7</t>
  </si>
  <si>
    <t>Threshold Median</t>
  </si>
  <si>
    <t>Total Branch Length</t>
  </si>
  <si>
    <t>Mean Branch Length</t>
  </si>
  <si>
    <t>Branch Junctions</t>
  </si>
  <si>
    <t>Branch End Points</t>
  </si>
  <si>
    <t>Mean Branch Diameter</t>
  </si>
  <si>
    <t>imagen deconvolucionada, hacer z-stack sum slices, definir roi con canal 2 (tubulina), duplicar, borrar exterior</t>
  </si>
  <si>
    <t>pasar a 8-bit</t>
  </si>
  <si>
    <t>SUM_F30_01.lif - F30_01_decon - C=0-1.tif thresholded</t>
  </si>
  <si>
    <t>SUM_F30_01.lif - F30_01_decon - C=0-2.tif thresholded</t>
  </si>
  <si>
    <t>SUM_F30_02.lif - F30_02_decon - C=0-1.tif thresholded</t>
  </si>
  <si>
    <t>SUM_F30_02.lif - F30_02_decon - C=0-2.tif thresholded</t>
  </si>
  <si>
    <t>SUM_F30_03.lif - F30_03_decon - C=0-1.tif thresholded</t>
  </si>
  <si>
    <t>SUM_F30_03.lif - F30_03_decon - C=0-2.tif thresholded</t>
  </si>
  <si>
    <t>SUM_F30_04.lif - F30_04_decon - C=0-1.tif thresholded</t>
  </si>
  <si>
    <t>SUM_F30_04.lif - F30_04_decon - C=0-2.tif thresholded</t>
  </si>
  <si>
    <t>SUM_F30_05.lif - F30_05_decon - C=0-1.tif thresholded</t>
  </si>
  <si>
    <t>SUM_F30_05.lif - F30_05_decon - C=0-2.tif thresholded</t>
  </si>
  <si>
    <t>SUM_F30_Basal_01.lif - F30_Basal_01_decon - C=0-1.tif thresholded</t>
  </si>
  <si>
    <t>SUM_F30_Basal_01.lif - F30_Basal_01_decon - C=0-2.tif thresholded</t>
  </si>
  <si>
    <t>SUM_F30_Basal_02.lif - F30_Basal_02_decon - C=0-1.tif thresholded</t>
  </si>
  <si>
    <t>SUM_F30_Basal_02.lif - F30_Basal_02_decon - C=0-2.tif thresholded</t>
  </si>
  <si>
    <t>SUM_F30_Basal_02.lif - F30_Basal_02_decon - C=0-3.tif thresholded</t>
  </si>
  <si>
    <t>SUM_F30_Basal_02.lif - F30_Basal_02_decon - C=0-4.tif thresholded</t>
  </si>
  <si>
    <t>SUM_F30_Basal_03.lif - F30_Basal_03_decon - C=0-1.tif thresholded</t>
  </si>
  <si>
    <t>SUM_F30_Basal_03.lif - F30_Basal_03_decon - C=0-2.tif thresholded</t>
  </si>
  <si>
    <t>SUM_F30_Basal_03.lif - F30_Basal_03_decon - C=0-3.tif thresholded</t>
  </si>
  <si>
    <t>SUM_F30_Basal_01.lif - F30_Basal_01_decon - C=0-3.tif thresholded</t>
  </si>
  <si>
    <t>SUM_F30_02.lif - F30_02_decon - C=0-3.tif thresholded</t>
  </si>
  <si>
    <t>SUM_F30_N2_Basal_01.lif - F30_N2_Basal_01_decon - C=0-1.tif thresholded</t>
  </si>
  <si>
    <t>SUM_F30_N2_Basal_01.lif - F30_N2_Basal_01_decon - C=0-2.tif thresholded</t>
  </si>
  <si>
    <t>SUM_F30_N2_Basal_02.lif - F30_N2_Basal_02_decon - C=0-1.tif thresholded</t>
  </si>
  <si>
    <t>SUM_F37_Basal_01.lif - F37_Basal_01_decon - C=0-1.tif thresholded</t>
  </si>
  <si>
    <t>SUM_F37_Basal_01.lif - F37_Basal_01_decon - C=0-2.tif thresholded</t>
  </si>
  <si>
    <t>SUM_F37_Basal_01.lif - F37_Basal_01_decon - C=0-3.tif thresholded</t>
  </si>
  <si>
    <t>SUM_F37_Basal_03.lif - F37_Basal_03_decon - C=0-1.tif thresholded</t>
  </si>
  <si>
    <t>SUM_F37_Basal_03.lif - F37_Basal_03_decon - C=0-2.tif thresholded</t>
  </si>
  <si>
    <t>Control</t>
  </si>
  <si>
    <t>analysis per cell</t>
  </si>
  <si>
    <t>normalized by count</t>
  </si>
  <si>
    <t>promedio</t>
  </si>
  <si>
    <t>stdev</t>
  </si>
  <si>
    <t>p value</t>
  </si>
  <si>
    <t>folds</t>
  </si>
  <si>
    <t>PER CELL PARAMETERS</t>
  </si>
  <si>
    <t>Total Area</t>
  </si>
  <si>
    <t>Mean Area</t>
  </si>
  <si>
    <t>Total Perimeter</t>
  </si>
  <si>
    <t>Morphological parameters</t>
  </si>
  <si>
    <t>Mean Perimeter</t>
  </si>
  <si>
    <t>Mean Form Factor</t>
  </si>
  <si>
    <t>Mean Aspect Ratio</t>
  </si>
  <si>
    <t>Network Parameters</t>
  </si>
  <si>
    <t>Note: branches, total branch length, branch junctions and branch end points can be further expressed as a normalization to either mito coount or total area</t>
  </si>
  <si>
    <t>Number of mitochondria in image</t>
  </si>
  <si>
    <t>Sum of area of all mitochondria in image</t>
  </si>
  <si>
    <t>Total area divided by count</t>
  </si>
  <si>
    <t>Sum of perimeter of al mitochondria in image</t>
  </si>
  <si>
    <t>Total perimeter divided by count</t>
  </si>
  <si>
    <t>A shape measure given by: P^2/(4piA). 1 indicates round object and increases with elongation. Expressed as mean FF of objects in image</t>
  </si>
  <si>
    <t>A shape measure given by: dmax/dmin. Ranges from 0 (round) to 1 (elongated). Expressed as mean AR of objects in image.</t>
  </si>
  <si>
    <t>Total number of branches in image</t>
  </si>
  <si>
    <t>Sum of length of all banches in image</t>
  </si>
  <si>
    <t>Total branch length divided by number of branches</t>
  </si>
  <si>
    <t>Number junctions within all skeletons in image. Junctions are points where 2 or more branches meet</t>
  </si>
  <si>
    <t>The mean diameter across all objects, using their skeletons to identify the long axis from which to measure diameter across.</t>
  </si>
  <si>
    <t>Total number of end-point, which are where branches end without connecting to another branch</t>
  </si>
  <si>
    <t>MT8740</t>
  </si>
  <si>
    <t>MT7683</t>
  </si>
  <si>
    <t>MT3373</t>
  </si>
  <si>
    <t>EXT202203</t>
  </si>
  <si>
    <t>SUM_MT8740_Basal_01.lif - MT8740_Basal_01_decon - C=0-1.tif thresholded</t>
  </si>
  <si>
    <t>SUM_MT8740_Basal_01.lif - MT8740_Basal_01_decon - C=0-2.tif thresholded</t>
  </si>
  <si>
    <t>SUM_MT8740_Basal_02.lif - MT8740_Basal_02_decon - C=0-1.tif thresholded</t>
  </si>
  <si>
    <t>SUM_MT8740_Basal_02.lif - MT8740_Basal_02_decon - C=0-2.tif thresholded</t>
  </si>
  <si>
    <t>SUM_MT8740_Basal_02.lif - MT8740_Basal_02_decon - C=0-3.tif thresholded</t>
  </si>
  <si>
    <t>SUM_MT8740_Basal_02.lif - MT8740_Basal_02_decon - C=0-4.tif thresholded</t>
  </si>
  <si>
    <t>SUM_MT8740_Basal_03.lif - MT8740_Basal_03_decon - C=0-1.tif thresholded</t>
  </si>
  <si>
    <t>SUM_MT8740_Basal_03.lif - MT8740_Basal_03_decon - C=0-2.tif thresholded</t>
  </si>
  <si>
    <t>SUM_MT7683_Basal_01.lif - MT7683_Basal_01_decon - C=0-1.tif thresholded</t>
  </si>
  <si>
    <t>SUM_MT7683_Basal_01.lif - MT7683_Basal_01_decon - C=0-2.tif thresholded</t>
  </si>
  <si>
    <t>SUM_MT7683_Basal_02.lif - MT7683_Basal_02_decon - C=0-1.tif thresholded</t>
  </si>
  <si>
    <t>SUM_MT7683_Basal_03.lif - MT7683_Basal_03_decon - C=0-1.tif thresholded</t>
  </si>
  <si>
    <t>SUM_MT7683_Basal_04.lif - MT7683_Basal_04_decon - C=0-1.tif thresholded</t>
  </si>
  <si>
    <t>SUM_MT7683_Basal_04.lif - MT7683_Basal_04_decon - C=0-2.tif thresholded</t>
  </si>
  <si>
    <t>SUM_MT7683_C1_01.lif - MT7683_C1_01_decon - C=0-1.tif thresholded</t>
  </si>
  <si>
    <t>SUM_MT7683_C1_01.lif - MT7683_C1_01_decon - C=0-2.tif thresholded</t>
  </si>
  <si>
    <t>SUM_MT7683_C1_01.lif - MT7683_C1_01_decon - C=0-3.tif thresholded</t>
  </si>
  <si>
    <t>SUM_MT7683_C1_02.lif - MT7683_C1_02_decon - C=0-1.tif thresholded</t>
  </si>
  <si>
    <t>SUM_MT7683_C1_02.lif - MT7683_C1_02_decon - C=0-2.tif thresholded</t>
  </si>
  <si>
    <t>SUM_MT7683_C1_02.lif - MT7683_C1_02_decon - C=0-3.tif thresholded</t>
  </si>
  <si>
    <t>SUM_MT3373_Basal_01.lif - MT3373_Basal_01_decon - C=0-1.tif thresholded</t>
  </si>
  <si>
    <t>SUM_MT3373_Basal_02.lif - MT3373_Basal_02_decon - C=0-1.tif thresholded</t>
  </si>
  <si>
    <t>SUM_MT3373_Basal_02.lif - MT3373_Basal_02_decon - C=0-2.tif thresholded</t>
  </si>
  <si>
    <t>SUM_MT3373_Basal_03.lif - MT3373_Basal_03_decon - C=0-1.tif thresholded</t>
  </si>
  <si>
    <t>SUM_MT3373_Basal_03.lif - MT3373_Basal_03_decon - C=0-2.tif thresholded</t>
  </si>
  <si>
    <t>SUM_MT8740_C1_01.lif - MT8740_C1_01_decon - C=0-1.tif thresholded</t>
  </si>
  <si>
    <t>SUM_MT8740_C1_01.lif - MT8740_C1_01_decon - C=0-2.tif thresholded</t>
  </si>
  <si>
    <t>SUM_MT8740_C1_02.lif - MT8740_C1_02_decon - C=0-1.tif thresholded</t>
  </si>
  <si>
    <t>SUM_MT8740_C1_02.lif - MT8740_C1_02_decon - C=0-2.tif thresholded</t>
  </si>
  <si>
    <t>SUM_MT8740_C2_01.lif - MT8740_C2_01_decon - C=0-1.tif thresholded</t>
  </si>
  <si>
    <t>SUM_MT8740_C2_02.lif - MT8740_C2_02_decon - C=0-1.tif thresholded</t>
  </si>
  <si>
    <t>SUM_MT8740_C2_02.lif - MT8740_C2_02_decon - C=0-2.tif thresholded</t>
  </si>
  <si>
    <t>SUM_MT8740_C2_02.lif - MT8740_C2_02_decon - C=0-3.tif thresholded</t>
  </si>
  <si>
    <t>100 nM MIN-102 48h</t>
  </si>
  <si>
    <t>SUM_1506257_Basal_01.lif - 1506257_Basal_01_decon - C=0-1.tif thresholded</t>
  </si>
  <si>
    <t>SUM_1506257_Basal_02.lif - 1506257_Basal_02_decon - C=0-1.tif thresholded</t>
  </si>
  <si>
    <t>SUM_1506257_Basal_03.lif - 1506257_Basal_03_decon - C=0-1.tif thresholded</t>
  </si>
  <si>
    <t>SUM_1506257_Basal_03.lif - 1506257_Basal_03_decon - C=0-2.tif thresholded</t>
  </si>
  <si>
    <t>SUM_1506257_Basal2_01.lif - 1506257_Basal2_01_decon - C=0-2.tif thresholded</t>
  </si>
  <si>
    <t>SUM_1506257_Basal2_02.lif - 1506257_Basal2_02_decon - C=0-1.tif thresholded</t>
  </si>
  <si>
    <t>basal2_03 no se hace bien el threshold</t>
  </si>
  <si>
    <t>SUM_1506257_Basal2_04.lif - 1506257_Basal2_04_decon - C=0-1.tif thresholded</t>
  </si>
  <si>
    <t>SUM_1506257_Basal2_05.lif - 1506257_Basal2_05_decon - C=0-1.tif thresholded</t>
  </si>
  <si>
    <t>SUM_1506257_Basal2_06.lif - 1506257_Basal2_06_decon - C=0-1.tif thresholded</t>
  </si>
  <si>
    <t>SUM_1506257_C1_01.lif - 1506257_C1_01_decon - C=0-1.tif thresholded</t>
  </si>
  <si>
    <t>SUM_1506257_C1_01.lif - 1506257_C1_01_decon - C=0-2.tif thresholded</t>
  </si>
  <si>
    <t>SUM_1506257_C1_02.lif - 1506257_C1_02_decon - C=0-1.tif thresholded</t>
  </si>
  <si>
    <t>SUM_1506257_C1_02.lif - 1506257_C1_02_decon - C=0-2.tif thresholded</t>
  </si>
  <si>
    <t>SUM_1506257_C1_02.lif - 1506257_C1_02_decon - C=0-3.tif thresholded</t>
  </si>
  <si>
    <t>SUM_1506257_C2_01.lif - 1506257_C2_01_decon - C=0-1.tif thresholded</t>
  </si>
  <si>
    <t>SUM_1506257_C2_01.lif - 1506257_C2_01_decon - C=0-2.tif thresholded</t>
  </si>
  <si>
    <t>SUM_1506257_C2_01.lif - 1506257_C2_01_decon - C=0-3.tif thresholded</t>
  </si>
  <si>
    <t>SUM_1506257_C2_02.lif - 1506257_C2_02_decon - C=0-1.tif thresholded</t>
  </si>
  <si>
    <t>Espermidina</t>
  </si>
  <si>
    <t>MIN-102</t>
  </si>
  <si>
    <t>SUM_1506257_SPM1uM_01.lif - 1506257_SPM1uM_01_decon - C=0-1.tif thresholded</t>
  </si>
  <si>
    <t>SUM_1506257_SPM1uM_01.lif - 1506257_SPM1uM_01_decon - C=0-2.tif thresholded</t>
  </si>
  <si>
    <t>SUM_1506257_SPM1uM_02.lif - 1506257_SPM1uM_02_decon - C=0-1.tif thresholded</t>
  </si>
  <si>
    <t>SUM_1506257_SPM1uM_02.lif - 1506257_SPM1uM_02_decon - C=0-2.tif thresholded</t>
  </si>
  <si>
    <t>SUM_1506257_SPM1uM_03.lif - 1506257_SPM1uM_03_decon - C=0-1.tif thresholded</t>
  </si>
  <si>
    <t>SUM_EXT202203_Basal_01.lif - EXT202203_Basal_01_decon - C=0-1.tif thresholded</t>
  </si>
  <si>
    <t>SUM_EXT202203_Basal_01.lif - EXT202203_Basal_01_decon - C=0-2.tif thresholded</t>
  </si>
  <si>
    <t>SUM_EXT202203_Basal_02.lif - EXT202203_Basal_02_decon - C=0-1.tif thresholded</t>
  </si>
  <si>
    <t>SUM_EXT202203_Basal_02.lif - EXT202203_Basal_02_decon - C=0-2.tif thresholded</t>
  </si>
  <si>
    <t>SUM_EXT202203_Basal_02.lif - EXT202203_Basal_02_decon - C=0-3.tif thresholded</t>
  </si>
  <si>
    <t>SUM_EXT202203_Basal_02.lif - EXT202203_Basal_02_decon - C=0-4.tif thresholded</t>
  </si>
  <si>
    <t>SUM_EXT202203_Basal_03.lif - EXT202203_Basal_03_decon - C=0-1.tif thresholded</t>
  </si>
  <si>
    <t>SUM_EXT202203_Basal_04.lif - EXT202203_Basal_04_decon - C=0-1.tif thresholded</t>
  </si>
  <si>
    <t>SUM_EXT202203_Basal_04.lif - EXT202203_Basal_04_decon - C=0-2.tif thresholded</t>
  </si>
  <si>
    <t>SUM_EXT202203_Basal_05.lif - EXT202203_Basal_05_decon - C=0-1.tif thresholded</t>
  </si>
  <si>
    <t>SUM_EXT202203_Basal_05.lif - EXT202203_Basal_05_decon - C=0-2.tif thresholded</t>
  </si>
  <si>
    <t>SUM_EXT202203_SPM1uM_01.lif - EXT202203_SPM1uM_01_decon - C=0-1.tif thresholded</t>
  </si>
  <si>
    <t>SUM_EXT202203_SPM1uM_01.lif - EXT202203_SPM1uM_01_decon - C=0-2.tif thresholded</t>
  </si>
  <si>
    <t>SUM_EXT202203_SPM1uM_02.lif - EXT202203_SPM1uM_02_decon - C=0-1.tif thresholded</t>
  </si>
  <si>
    <t>SUM_EXT202203_SPM1uM_03.lif - EXT202203_SPM1uM_03_decon - C=0-1.tif thresholded</t>
  </si>
  <si>
    <t>SUM_EXT202203_SPM1uM_03.lif - EXT202203_SPM1uM_03_decon - C=0-2.tif thresholded</t>
  </si>
  <si>
    <t>SUM_F10_01.lif - F10_01_decon - C=0-1.tif thresholded</t>
  </si>
  <si>
    <t>SUM_F10_01.lif - F10_01_decon - C=0-2.tif thresholded</t>
  </si>
  <si>
    <t>SUM_F10_02.lif - F10_02_decon - C=0-1.tif thresholded</t>
  </si>
  <si>
    <t>SUM_F10_02.lif - F10_02_decon - C=0-2.tif thresholded</t>
  </si>
  <si>
    <t>SUM_F10_02.lif - F10_02_decon - C=0-3.tif thresholded</t>
  </si>
  <si>
    <t>SUM_F10_03.lif - F10_03_decon - C=0-1.tif thresholded</t>
  </si>
  <si>
    <t>SUM_F10_03.lif - F10_03_decon - C=0-2.tif thresholded</t>
  </si>
  <si>
    <t>SUM_F10_03.lif - F10_03_decon - C=0-3.tif thresholded</t>
  </si>
  <si>
    <t>SUM_MT3373_Basal_01.lif - MT3373_Basal_01_decon - C=0-2.tif thresholded</t>
  </si>
  <si>
    <t>SUM_MT3373_SPM1uM_01.lif - MT3373_SPM1uM_01_decon - C=0-1.tif thresholded</t>
  </si>
  <si>
    <t>SUM_MT3373_SPM1uM_01.lif - MT3373_SPM1uM_01_decon - C=0-2.tif thresholded</t>
  </si>
  <si>
    <t>SUM_MT3373_SPM1uM_02.lif - MT3373_SPM1uM_02_decon - C=0-1.tif thresholded</t>
  </si>
  <si>
    <t>SUM_MT3373_SPM1uM_03.lif - MT3373_SPM1uM_03_decon - C=0-1.tif thresholded</t>
  </si>
  <si>
    <t>SUM_MT3373_SPM1uM_03.lif - MT3373_SPM1uM_03_decon - C=0-2.tif thresholded</t>
  </si>
  <si>
    <t>SUM_MT7683_Basal_02.lif - MT7683_Basal_02_decon - C=0-2.tif thresholded</t>
  </si>
  <si>
    <t>SUM_MT7683_Basal_03.lif - MT7683_Basal_03_decon - C=0-2.tif thresholded</t>
  </si>
  <si>
    <t>SUM_MT7683_SPM1uM_01.lif - MT7683_SPM1uM_01_decon - C=0-1.tif thresholded</t>
  </si>
  <si>
    <t>SUM_MT7683_SPM1uM_01.lif - MT7683_SPM1uM_01_decon - C=0-2.tif thresholded</t>
  </si>
  <si>
    <t>SUM_MT7683_SPM1uM_02.lif - MT7683_SPM1uM_02_decon - C=0-1.tif thresholded</t>
  </si>
  <si>
    <t>SUM_MT7683_SPM1uM_02.lif - MT7683_SPM1uM_02_decon - C=0-2.tif thresholded</t>
  </si>
  <si>
    <t>SUM_MT7683_SPM1uM_03.lif - MT7683_SPM1uM_03_decon - C=0-1.tif thresholded</t>
  </si>
  <si>
    <t>SUM_MT7683_SPM1uM_03.lif - MT7683_SPM1uM_03_decon - C=0-2.tif thresholded</t>
  </si>
  <si>
    <t>SUM_MT7683_SPM1uM_03.lif - MT7683_SPM1uM_03_decon - C=0-3.tif thresholded</t>
  </si>
  <si>
    <t>SUM_MT8740_SPM1uM_01.lif - MT8740_SPM1uM_01_decon - C=0-1.tif thresholded</t>
  </si>
  <si>
    <t>SUM_MT8740_SPM1uM_01.lif - MT8740_SPM1uM_01_decon - C=0-2.tif thresholded</t>
  </si>
  <si>
    <t>SUM_MT8740_SPM1uM_01.lif - MT8740_SPM1uM_01_decon - C=0-3.tif thresholded</t>
  </si>
  <si>
    <t>SUM_MT8740_SPM1uM_02.lif - MT8740_SPM1uM_02_decon - C=0-1.tif thresholded</t>
  </si>
  <si>
    <t>SUM_MT8740_SPM1uM_02.lif - MT8740_SPM1uM_02_decon - C=0-2.tif thresholded</t>
  </si>
  <si>
    <t>SUM_MT8740_SPM1uM_02.lif - MT8740_SPM1uM_02_decon - C=0-3.tif thresholded</t>
  </si>
  <si>
    <t>SUM_MT8740_SPM1uM_03.lif - MT8740_SPM1uM_03_decon - C=0-1.tif thresholded</t>
  </si>
  <si>
    <t>SUM_MT8740_SPM1uM_03.lif - MT8740_SPM1uM_03_decon - C=0-2.tif thresholded</t>
  </si>
  <si>
    <t>500 nM MIN-102 48h</t>
  </si>
  <si>
    <t>Spermidine 1uM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</si>
</sst>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4"/>
      <color theme="0"/>
      <name val="Calibri Light"/>
      <family val="2"/>
      <scheme val="major"/>
    </font>
    <font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0" tint="-0.3499862666707357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2" borderId="0" xfId="0" applyFont="1" applyFill="1"/>
    <xf numFmtId="0" fontId="5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/>
    <xf numFmtId="0" fontId="2" fillId="3" borderId="0" xfId="0" applyFont="1" applyFill="1"/>
    <xf numFmtId="0" fontId="6" fillId="0" borderId="0" xfId="0" applyFont="1"/>
    <xf numFmtId="0" fontId="0" fillId="0" borderId="0" xfId="0" applyAlignment="1">
      <alignment horizontal="center"/>
    </xf>
    <xf numFmtId="0" fontId="4" fillId="4" borderId="0" xfId="0" applyFont="1" applyFill="1"/>
    <xf numFmtId="0" fontId="7" fillId="0" borderId="0" xfId="0" applyFont="1"/>
    <xf numFmtId="0" fontId="0" fillId="0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Fill="1"/>
    <xf numFmtId="0" fontId="4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2" fillId="3" borderId="9" xfId="0" applyFont="1" applyFill="1" applyBorder="1"/>
    <xf numFmtId="0" fontId="2" fillId="3" borderId="10" xfId="0" applyFont="1" applyFill="1" applyBorder="1"/>
    <xf numFmtId="165" fontId="10" fillId="0" borderId="4" xfId="0" applyNumberFormat="1" applyFont="1" applyBorder="1" applyAlignment="1">
      <alignment horizontal="center"/>
    </xf>
    <xf numFmtId="165" fontId="10" fillId="0" borderId="0" xfId="0" applyNumberFormat="1" applyFont="1" applyBorder="1" applyAlignment="1">
      <alignment horizontal="center"/>
    </xf>
    <xf numFmtId="165" fontId="10" fillId="0" borderId="5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4" fontId="2" fillId="3" borderId="11" xfId="0" applyNumberFormat="1" applyFont="1" applyFill="1" applyBorder="1"/>
    <xf numFmtId="164" fontId="10" fillId="0" borderId="6" xfId="0" applyNumberFormat="1" applyFont="1" applyBorder="1"/>
    <xf numFmtId="164" fontId="10" fillId="0" borderId="8" xfId="0" applyNumberFormat="1" applyFont="1" applyBorder="1" applyAlignment="1">
      <alignment horizontal="center"/>
    </xf>
    <xf numFmtId="164" fontId="0" fillId="0" borderId="0" xfId="0" applyNumberFormat="1"/>
    <xf numFmtId="0" fontId="5" fillId="0" borderId="12" xfId="0" applyFont="1" applyBorder="1"/>
    <xf numFmtId="0" fontId="7" fillId="0" borderId="12" xfId="0" applyFont="1" applyBorder="1"/>
    <xf numFmtId="0" fontId="3" fillId="0" borderId="0" xfId="0" applyFont="1" applyAlignment="1">
      <alignment horizontal="center"/>
    </xf>
    <xf numFmtId="164" fontId="10" fillId="0" borderId="7" xfId="0" applyNumberFormat="1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0" fontId="0" fillId="0" borderId="12" xfId="0" applyBorder="1" applyAlignment="1">
      <alignment horizontal="center"/>
    </xf>
    <xf numFmtId="164" fontId="10" fillId="5" borderId="7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11" fillId="0" borderId="0" xfId="0" applyFont="1"/>
    <xf numFmtId="0" fontId="0" fillId="6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14" fillId="5" borderId="0" xfId="0" applyFont="1" applyFill="1"/>
    <xf numFmtId="0" fontId="0" fillId="7" borderId="0" xfId="0" applyFill="1" applyAlignment="1">
      <alignment horizontal="center" vertical="center"/>
    </xf>
    <xf numFmtId="0" fontId="0" fillId="7" borderId="0" xfId="0" applyFill="1"/>
    <xf numFmtId="0" fontId="14" fillId="7" borderId="0" xfId="0" applyFont="1" applyFill="1"/>
    <xf numFmtId="0" fontId="0" fillId="6" borderId="0" xfId="0" applyFill="1"/>
    <xf numFmtId="0" fontId="3" fillId="6" borderId="0" xfId="0" applyFont="1" applyFill="1" applyAlignment="1">
      <alignment horizontal="center"/>
    </xf>
    <xf numFmtId="0" fontId="3" fillId="6" borderId="0" xfId="0" applyFont="1" applyFill="1"/>
    <xf numFmtId="0" fontId="0" fillId="6" borderId="0" xfId="0" applyFill="1" applyBorder="1" applyAlignment="1">
      <alignment horizontal="center"/>
    </xf>
    <xf numFmtId="164" fontId="10" fillId="5" borderId="8" xfId="0" applyNumberFormat="1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0" fillId="8" borderId="13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0" fontId="0" fillId="9" borderId="1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opLeftCell="A4" zoomScale="130" zoomScaleNormal="130" workbookViewId="0">
      <selection activeCell="A33" sqref="A33"/>
    </sheetView>
  </sheetViews>
  <sheetFormatPr baseColWidth="10" defaultRowHeight="15" x14ac:dyDescent="0.25"/>
  <cols>
    <col min="1" max="1" width="30.28515625" style="2" customWidth="1"/>
    <col min="2" max="4" width="11.42578125" style="2"/>
    <col min="5" max="5" width="15.85546875" style="2" customWidth="1"/>
    <col min="6" max="6" width="15.7109375" style="2" customWidth="1"/>
    <col min="7" max="7" width="18.28515625" style="2" customWidth="1"/>
    <col min="8" max="8" width="17.5703125" style="2" customWidth="1"/>
    <col min="9" max="9" width="11.42578125" style="2"/>
    <col min="10" max="10" width="16" style="2" customWidth="1"/>
    <col min="11" max="11" width="19.140625" style="2" customWidth="1"/>
    <col min="12" max="12" width="25.5703125" style="2" customWidth="1"/>
    <col min="13" max="13" width="20.7109375" style="2" customWidth="1"/>
    <col min="14" max="14" width="17.85546875" style="2" customWidth="1"/>
    <col min="15" max="15" width="21.85546875" style="2" customWidth="1"/>
    <col min="16" max="16" width="18.28515625" style="2" customWidth="1"/>
    <col min="17" max="17" width="24.140625" style="2" customWidth="1"/>
    <col min="18" max="18" width="23.7109375" style="2" customWidth="1"/>
    <col min="19" max="16384" width="11.42578125" style="2"/>
  </cols>
  <sheetData>
    <row r="1" spans="1:9" x14ac:dyDescent="0.25">
      <c r="A1" s="2" t="s">
        <v>28</v>
      </c>
    </row>
    <row r="2" spans="1:9" x14ac:dyDescent="0.25">
      <c r="A2" s="9" t="s">
        <v>29</v>
      </c>
    </row>
    <row r="3" spans="1:9" x14ac:dyDescent="0.25">
      <c r="A3" s="8" t="s">
        <v>20</v>
      </c>
    </row>
    <row r="4" spans="1:9" x14ac:dyDescent="0.25">
      <c r="A4" s="8" t="s">
        <v>21</v>
      </c>
    </row>
    <row r="5" spans="1:9" x14ac:dyDescent="0.25">
      <c r="A5" s="8" t="s">
        <v>22</v>
      </c>
    </row>
    <row r="7" spans="1:9" x14ac:dyDescent="0.25">
      <c r="A7" s="2" t="s">
        <v>60</v>
      </c>
    </row>
    <row r="8" spans="1:9" x14ac:dyDescent="0.25">
      <c r="A8" s="2" t="s">
        <v>61</v>
      </c>
    </row>
    <row r="12" spans="1:9" x14ac:dyDescent="0.25">
      <c r="A12" s="9" t="s">
        <v>66</v>
      </c>
    </row>
    <row r="13" spans="1:9" ht="15.75" thickBot="1" x14ac:dyDescent="0.3">
      <c r="A13" s="34" t="s">
        <v>70</v>
      </c>
      <c r="B13" s="33"/>
      <c r="C13" s="33"/>
      <c r="D13" s="33"/>
      <c r="E13" s="33"/>
      <c r="F13" s="33"/>
      <c r="G13" s="33"/>
      <c r="H13" s="33"/>
      <c r="I13" s="33"/>
    </row>
    <row r="14" spans="1:9" ht="15.75" thickTop="1" x14ac:dyDescent="0.25">
      <c r="A14" s="9" t="s">
        <v>1</v>
      </c>
      <c r="B14" s="2" t="s">
        <v>76</v>
      </c>
    </row>
    <row r="15" spans="1:9" x14ac:dyDescent="0.25">
      <c r="A15" s="9" t="s">
        <v>67</v>
      </c>
      <c r="B15" s="2" t="s">
        <v>77</v>
      </c>
    </row>
    <row r="16" spans="1:9" x14ac:dyDescent="0.25">
      <c r="A16" s="9" t="s">
        <v>68</v>
      </c>
      <c r="B16" s="2" t="s">
        <v>78</v>
      </c>
    </row>
    <row r="17" spans="1:9" x14ac:dyDescent="0.25">
      <c r="A17" s="9" t="s">
        <v>69</v>
      </c>
      <c r="B17" s="2" t="s">
        <v>79</v>
      </c>
    </row>
    <row r="18" spans="1:9" x14ac:dyDescent="0.25">
      <c r="A18" s="9" t="s">
        <v>71</v>
      </c>
      <c r="B18" s="2" t="s">
        <v>80</v>
      </c>
    </row>
    <row r="19" spans="1:9" x14ac:dyDescent="0.25">
      <c r="A19" s="9" t="s">
        <v>72</v>
      </c>
      <c r="B19" s="2" t="s">
        <v>81</v>
      </c>
    </row>
    <row r="20" spans="1:9" x14ac:dyDescent="0.25">
      <c r="A20" s="9" t="s">
        <v>73</v>
      </c>
      <c r="B20" s="2" t="s">
        <v>82</v>
      </c>
    </row>
    <row r="22" spans="1:9" ht="15.75" thickBot="1" x14ac:dyDescent="0.3">
      <c r="A22" s="34" t="s">
        <v>74</v>
      </c>
      <c r="B22" s="33"/>
      <c r="C22" s="33"/>
      <c r="D22" s="33"/>
      <c r="E22" s="33"/>
      <c r="F22" s="33"/>
      <c r="G22" s="33"/>
      <c r="H22" s="33"/>
      <c r="I22" s="33"/>
    </row>
    <row r="23" spans="1:9" ht="15.75" thickTop="1" x14ac:dyDescent="0.25">
      <c r="A23" s="9" t="s">
        <v>8</v>
      </c>
      <c r="B23" s="2" t="s">
        <v>83</v>
      </c>
    </row>
    <row r="24" spans="1:9" x14ac:dyDescent="0.25">
      <c r="A24" s="9" t="s">
        <v>23</v>
      </c>
      <c r="B24" s="2" t="s">
        <v>84</v>
      </c>
    </row>
    <row r="25" spans="1:9" x14ac:dyDescent="0.25">
      <c r="A25" s="9" t="s">
        <v>24</v>
      </c>
      <c r="B25" s="2" t="s">
        <v>85</v>
      </c>
    </row>
    <row r="26" spans="1:9" x14ac:dyDescent="0.25">
      <c r="A26" s="9" t="s">
        <v>25</v>
      </c>
      <c r="B26" s="2" t="s">
        <v>86</v>
      </c>
    </row>
    <row r="27" spans="1:9" x14ac:dyDescent="0.25">
      <c r="A27" s="9" t="s">
        <v>26</v>
      </c>
      <c r="B27" s="2" t="s">
        <v>88</v>
      </c>
    </row>
    <row r="28" spans="1:9" x14ac:dyDescent="0.25">
      <c r="A28" s="9" t="s">
        <v>27</v>
      </c>
      <c r="B28" s="2" t="s">
        <v>87</v>
      </c>
    </row>
    <row r="30" spans="1:9" x14ac:dyDescent="0.25">
      <c r="A30" s="2" t="s">
        <v>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"/>
  <sheetViews>
    <sheetView zoomScale="115" zoomScaleNormal="115" workbookViewId="0">
      <selection activeCell="D18" sqref="D18"/>
    </sheetView>
  </sheetViews>
  <sheetFormatPr baseColWidth="10" defaultRowHeight="15" x14ac:dyDescent="0.25"/>
  <cols>
    <col min="1" max="1" width="18.85546875" customWidth="1"/>
    <col min="2" max="2" width="96.85546875" customWidth="1"/>
    <col min="6" max="6" width="15.85546875" customWidth="1"/>
    <col min="7" max="7" width="15.7109375" customWidth="1"/>
    <col min="8" max="8" width="18.28515625" customWidth="1"/>
    <col min="9" max="9" width="17.5703125" customWidth="1"/>
    <col min="11" max="11" width="16" customWidth="1"/>
    <col min="12" max="12" width="19.140625" customWidth="1"/>
    <col min="13" max="13" width="25.5703125" customWidth="1"/>
    <col min="14" max="14" width="20.7109375" customWidth="1"/>
    <col min="15" max="15" width="17.85546875" customWidth="1"/>
    <col min="16" max="16" width="21.85546875" customWidth="1"/>
    <col min="17" max="17" width="18.28515625" customWidth="1"/>
    <col min="18" max="18" width="24.140625" customWidth="1"/>
    <col min="19" max="19" width="23.7109375" customWidth="1"/>
  </cols>
  <sheetData>
    <row r="1" spans="1:19" x14ac:dyDescent="0.25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2" customFormat="1" x14ac:dyDescent="0.25">
      <c r="A2" s="1" t="s">
        <v>18</v>
      </c>
      <c r="B2" s="1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</row>
    <row r="3" spans="1:19" ht="15.75" x14ac:dyDescent="0.25">
      <c r="A3" s="7">
        <v>20210604</v>
      </c>
      <c r="B3" t="s">
        <v>54</v>
      </c>
      <c r="C3">
        <v>46</v>
      </c>
      <c r="D3">
        <v>117.09699999999999</v>
      </c>
      <c r="E3">
        <v>2.5459999999999998</v>
      </c>
      <c r="F3">
        <v>503.67899999999997</v>
      </c>
      <c r="G3">
        <v>10.95</v>
      </c>
      <c r="H3">
        <v>2.927</v>
      </c>
      <c r="I3">
        <v>3.887</v>
      </c>
      <c r="J3">
        <v>93</v>
      </c>
      <c r="K3">
        <v>2.0219999999999998</v>
      </c>
      <c r="L3">
        <v>220.02500000000001</v>
      </c>
      <c r="M3" s="6">
        <v>4.7830000000000004</v>
      </c>
      <c r="N3" s="6">
        <v>2.3660000000000001</v>
      </c>
      <c r="O3" s="6">
        <v>25</v>
      </c>
      <c r="P3" s="6">
        <v>0.54300000000000004</v>
      </c>
      <c r="Q3" s="6">
        <v>103</v>
      </c>
      <c r="R3" s="6">
        <v>2.2389999999999999</v>
      </c>
      <c r="S3" s="6">
        <v>0.51300000000000001</v>
      </c>
    </row>
    <row r="4" spans="1:19" x14ac:dyDescent="0.25">
      <c r="A4" s="7">
        <v>20210604</v>
      </c>
      <c r="B4" t="s">
        <v>55</v>
      </c>
      <c r="C4">
        <v>128</v>
      </c>
      <c r="D4">
        <v>227.32499999999999</v>
      </c>
      <c r="E4">
        <v>1.776</v>
      </c>
      <c r="F4">
        <v>1030.83</v>
      </c>
      <c r="G4">
        <v>8.0530000000000008</v>
      </c>
      <c r="H4">
        <v>3.3119999999999998</v>
      </c>
      <c r="I4">
        <v>3.0059999999999998</v>
      </c>
      <c r="J4">
        <v>195</v>
      </c>
      <c r="K4">
        <v>1.5229999999999999</v>
      </c>
      <c r="L4">
        <v>402.90100000000001</v>
      </c>
      <c r="M4">
        <v>3.1480000000000001</v>
      </c>
      <c r="N4">
        <v>2.0659999999999998</v>
      </c>
      <c r="O4">
        <v>35</v>
      </c>
      <c r="P4">
        <v>0.27300000000000002</v>
      </c>
      <c r="Q4">
        <v>269</v>
      </c>
      <c r="R4">
        <v>2.1019999999999999</v>
      </c>
      <c r="S4">
        <v>0.504</v>
      </c>
    </row>
    <row r="5" spans="1:19" x14ac:dyDescent="0.25">
      <c r="A5" s="7">
        <v>20210604</v>
      </c>
      <c r="B5" s="4" t="s">
        <v>56</v>
      </c>
      <c r="C5">
        <v>87</v>
      </c>
      <c r="D5">
        <v>209.36199999999999</v>
      </c>
      <c r="E5">
        <v>2.4060000000000001</v>
      </c>
      <c r="F5">
        <v>969.82399999999996</v>
      </c>
      <c r="G5">
        <v>11.147</v>
      </c>
      <c r="H5">
        <v>3.5680000000000001</v>
      </c>
      <c r="I5">
        <v>4.1900000000000004</v>
      </c>
      <c r="J5">
        <v>152</v>
      </c>
      <c r="K5">
        <v>1.7470000000000001</v>
      </c>
      <c r="L5">
        <v>408.03500000000003</v>
      </c>
      <c r="M5">
        <v>4.6900000000000004</v>
      </c>
      <c r="N5">
        <v>2.6840000000000002</v>
      </c>
      <c r="O5">
        <v>33</v>
      </c>
      <c r="P5">
        <v>0.379</v>
      </c>
      <c r="Q5">
        <v>195</v>
      </c>
      <c r="R5">
        <v>2.2410000000000001</v>
      </c>
      <c r="S5">
        <v>0.495</v>
      </c>
    </row>
    <row r="6" spans="1:19" x14ac:dyDescent="0.25">
      <c r="A6" s="7">
        <v>20210604</v>
      </c>
      <c r="B6" t="s">
        <v>57</v>
      </c>
      <c r="C6">
        <v>103</v>
      </c>
      <c r="D6">
        <v>167.02</v>
      </c>
      <c r="E6">
        <v>1.6220000000000001</v>
      </c>
      <c r="F6">
        <v>707.61800000000005</v>
      </c>
      <c r="G6">
        <v>6.87</v>
      </c>
      <c r="H6">
        <v>2.819</v>
      </c>
      <c r="I6">
        <v>2.4049999999999998</v>
      </c>
      <c r="J6">
        <v>137</v>
      </c>
      <c r="K6">
        <v>1.33</v>
      </c>
      <c r="L6">
        <v>247.559</v>
      </c>
      <c r="M6">
        <v>2.403</v>
      </c>
      <c r="N6">
        <v>1.8069999999999999</v>
      </c>
      <c r="O6">
        <v>19</v>
      </c>
      <c r="P6">
        <v>0.184</v>
      </c>
      <c r="Q6">
        <v>210</v>
      </c>
      <c r="R6">
        <v>2.0390000000000001</v>
      </c>
      <c r="S6">
        <v>0.54100000000000004</v>
      </c>
    </row>
    <row r="7" spans="1:19" x14ac:dyDescent="0.25">
      <c r="A7" s="7">
        <v>20210604</v>
      </c>
      <c r="B7" t="s">
        <v>58</v>
      </c>
      <c r="C7">
        <v>221</v>
      </c>
      <c r="D7">
        <v>356.36700000000002</v>
      </c>
      <c r="E7">
        <v>1.613</v>
      </c>
      <c r="F7">
        <v>1660.1389999999999</v>
      </c>
      <c r="G7">
        <v>7.5119999999999996</v>
      </c>
      <c r="H7">
        <v>3.4860000000000002</v>
      </c>
      <c r="I7">
        <v>2.8690000000000002</v>
      </c>
      <c r="J7">
        <v>289</v>
      </c>
      <c r="K7">
        <v>1.3080000000000001</v>
      </c>
      <c r="L7">
        <v>631.69200000000001</v>
      </c>
      <c r="M7">
        <v>2.8580000000000001</v>
      </c>
      <c r="N7">
        <v>2.1859999999999999</v>
      </c>
      <c r="O7">
        <v>35</v>
      </c>
      <c r="P7">
        <v>0.158</v>
      </c>
      <c r="Q7">
        <v>448</v>
      </c>
      <c r="R7">
        <v>2.0270000000000001</v>
      </c>
      <c r="S7">
        <v>0.502</v>
      </c>
    </row>
    <row r="8" spans="1:19" x14ac:dyDescent="0.25">
      <c r="A8" s="7">
        <v>20210526</v>
      </c>
      <c r="B8" t="s">
        <v>51</v>
      </c>
      <c r="C8">
        <v>67</v>
      </c>
      <c r="D8">
        <v>93.676000000000002</v>
      </c>
      <c r="E8">
        <v>1.3979999999999999</v>
      </c>
      <c r="F8">
        <v>439.745</v>
      </c>
      <c r="G8">
        <v>6.5629999999999997</v>
      </c>
      <c r="H8">
        <v>3.05</v>
      </c>
      <c r="I8">
        <v>2.5449999999999999</v>
      </c>
      <c r="J8">
        <v>99</v>
      </c>
      <c r="K8">
        <v>1.478</v>
      </c>
      <c r="L8">
        <v>160.63200000000001</v>
      </c>
      <c r="M8">
        <v>2.3969999999999998</v>
      </c>
      <c r="N8">
        <v>1.623</v>
      </c>
      <c r="O8">
        <v>17</v>
      </c>
      <c r="P8">
        <v>0.254</v>
      </c>
      <c r="Q8">
        <v>138</v>
      </c>
      <c r="R8">
        <v>2.06</v>
      </c>
      <c r="S8">
        <v>0.495</v>
      </c>
    </row>
    <row r="9" spans="1:19" x14ac:dyDescent="0.25">
      <c r="A9" s="7">
        <v>20210526</v>
      </c>
      <c r="B9" t="s">
        <v>52</v>
      </c>
      <c r="C9">
        <v>69</v>
      </c>
      <c r="D9">
        <v>133.863</v>
      </c>
      <c r="E9">
        <v>1.94</v>
      </c>
      <c r="F9">
        <v>587.66499999999996</v>
      </c>
      <c r="G9">
        <v>8.5169999999999995</v>
      </c>
      <c r="H9">
        <v>3.1469999999999998</v>
      </c>
      <c r="I9">
        <v>3.0750000000000002</v>
      </c>
      <c r="J9">
        <v>116</v>
      </c>
      <c r="K9">
        <v>1.681</v>
      </c>
      <c r="L9">
        <v>224.297</v>
      </c>
      <c r="M9">
        <v>3.2509999999999999</v>
      </c>
      <c r="N9">
        <v>1.9339999999999999</v>
      </c>
      <c r="O9">
        <v>24</v>
      </c>
      <c r="P9">
        <v>0.34799999999999998</v>
      </c>
      <c r="Q9">
        <v>150</v>
      </c>
      <c r="R9">
        <v>2.1739999999999999</v>
      </c>
      <c r="S9">
        <v>0.51900000000000002</v>
      </c>
    </row>
    <row r="10" spans="1:19" x14ac:dyDescent="0.25">
      <c r="A10" s="7">
        <v>20210526</v>
      </c>
      <c r="B10" t="s">
        <v>53</v>
      </c>
      <c r="C10">
        <v>230</v>
      </c>
      <c r="D10">
        <v>254.59</v>
      </c>
      <c r="E10">
        <v>1.107</v>
      </c>
      <c r="F10">
        <v>1255.404</v>
      </c>
      <c r="G10">
        <v>5.4580000000000002</v>
      </c>
      <c r="H10">
        <v>2.895</v>
      </c>
      <c r="I10">
        <v>2.23</v>
      </c>
      <c r="J10">
        <v>275</v>
      </c>
      <c r="K10">
        <v>1.196</v>
      </c>
      <c r="L10">
        <v>423.524</v>
      </c>
      <c r="M10">
        <v>1.841</v>
      </c>
      <c r="N10">
        <v>1.54</v>
      </c>
      <c r="O10">
        <v>22</v>
      </c>
      <c r="P10">
        <v>9.6000000000000002E-2</v>
      </c>
      <c r="Q10">
        <v>464</v>
      </c>
      <c r="R10">
        <v>2.0169999999999999</v>
      </c>
      <c r="S10">
        <v>0.48699999999999999</v>
      </c>
    </row>
    <row r="11" spans="1:19" x14ac:dyDescent="0.25">
      <c r="A11" s="7">
        <v>20210409</v>
      </c>
      <c r="B11" t="s">
        <v>40</v>
      </c>
      <c r="C11">
        <v>130</v>
      </c>
      <c r="D11">
        <v>214.048</v>
      </c>
      <c r="E11">
        <v>1.647</v>
      </c>
      <c r="F11">
        <v>946.77200000000005</v>
      </c>
      <c r="G11">
        <v>7.2830000000000004</v>
      </c>
      <c r="H11">
        <v>2.9609999999999999</v>
      </c>
      <c r="I11">
        <v>2.6579999999999999</v>
      </c>
      <c r="J11">
        <v>183</v>
      </c>
      <c r="K11">
        <v>1.4079999999999999</v>
      </c>
      <c r="L11">
        <v>358.31599999999997</v>
      </c>
      <c r="M11">
        <v>2.7559999999999998</v>
      </c>
      <c r="N11">
        <v>1.958</v>
      </c>
      <c r="O11">
        <v>27</v>
      </c>
      <c r="P11">
        <v>0.20799999999999999</v>
      </c>
      <c r="Q11">
        <v>275</v>
      </c>
      <c r="R11">
        <v>2.1150000000000002</v>
      </c>
      <c r="S11">
        <v>0.52800000000000002</v>
      </c>
    </row>
    <row r="12" spans="1:19" x14ac:dyDescent="0.25">
      <c r="A12" s="7">
        <v>20210409</v>
      </c>
      <c r="B12" t="s">
        <v>41</v>
      </c>
      <c r="C12">
        <v>173</v>
      </c>
      <c r="D12">
        <v>278.02300000000002</v>
      </c>
      <c r="E12">
        <v>1.607</v>
      </c>
      <c r="F12">
        <v>1240.53</v>
      </c>
      <c r="G12">
        <v>7.1710000000000003</v>
      </c>
      <c r="H12">
        <v>2.9129999999999998</v>
      </c>
      <c r="I12">
        <v>2.6459999999999999</v>
      </c>
      <c r="J12">
        <v>270</v>
      </c>
      <c r="K12">
        <v>1.5609999999999999</v>
      </c>
      <c r="L12">
        <v>459.363</v>
      </c>
      <c r="M12">
        <v>2.6549999999999998</v>
      </c>
      <c r="N12">
        <v>1.7010000000000001</v>
      </c>
      <c r="O12">
        <v>49</v>
      </c>
      <c r="P12">
        <v>0.28299999999999997</v>
      </c>
      <c r="Q12">
        <v>369</v>
      </c>
      <c r="R12">
        <v>2.133</v>
      </c>
      <c r="S12">
        <v>0.52200000000000002</v>
      </c>
    </row>
    <row r="13" spans="1:19" x14ac:dyDescent="0.25">
      <c r="A13" s="7">
        <v>20210409</v>
      </c>
      <c r="B13" t="s">
        <v>42</v>
      </c>
      <c r="C13">
        <v>108</v>
      </c>
      <c r="D13">
        <v>162.018</v>
      </c>
      <c r="E13">
        <v>1.5</v>
      </c>
      <c r="F13">
        <v>807.97900000000004</v>
      </c>
      <c r="G13">
        <v>7.4809999999999999</v>
      </c>
      <c r="H13">
        <v>3.8530000000000002</v>
      </c>
      <c r="I13">
        <v>3.0659999999999998</v>
      </c>
      <c r="J13">
        <v>141</v>
      </c>
      <c r="K13">
        <v>1.306</v>
      </c>
      <c r="L13">
        <v>313.697</v>
      </c>
      <c r="M13">
        <v>2.9049999999999998</v>
      </c>
      <c r="N13">
        <v>2.2250000000000001</v>
      </c>
      <c r="O13">
        <v>16</v>
      </c>
      <c r="P13">
        <v>0.14799999999999999</v>
      </c>
      <c r="Q13">
        <v>221</v>
      </c>
      <c r="R13">
        <v>2.0459999999999998</v>
      </c>
      <c r="S13">
        <v>0.47699999999999998</v>
      </c>
    </row>
    <row r="14" spans="1:19" x14ac:dyDescent="0.25">
      <c r="A14" s="7">
        <v>20210409</v>
      </c>
      <c r="B14" t="s">
        <v>43</v>
      </c>
      <c r="C14">
        <v>83</v>
      </c>
      <c r="D14">
        <v>133.5</v>
      </c>
      <c r="E14">
        <v>1.6080000000000001</v>
      </c>
      <c r="F14">
        <v>616.46</v>
      </c>
      <c r="G14">
        <v>7.4269999999999996</v>
      </c>
      <c r="H14">
        <v>3.839</v>
      </c>
      <c r="I14">
        <v>2.8130000000000002</v>
      </c>
      <c r="J14">
        <v>110</v>
      </c>
      <c r="K14">
        <v>1.325</v>
      </c>
      <c r="L14">
        <v>236.10300000000001</v>
      </c>
      <c r="M14">
        <v>2.8450000000000002</v>
      </c>
      <c r="N14">
        <v>2.1459999999999999</v>
      </c>
      <c r="O14">
        <v>14</v>
      </c>
      <c r="P14">
        <v>0.16900000000000001</v>
      </c>
      <c r="Q14">
        <v>174</v>
      </c>
      <c r="R14">
        <v>2.0960000000000001</v>
      </c>
      <c r="S14">
        <v>0.5</v>
      </c>
    </row>
    <row r="15" spans="1:19" x14ac:dyDescent="0.25">
      <c r="A15" s="7">
        <v>20210409</v>
      </c>
      <c r="B15" t="s">
        <v>44</v>
      </c>
      <c r="C15">
        <v>67</v>
      </c>
      <c r="D15">
        <v>85.58</v>
      </c>
      <c r="E15">
        <v>1.2769999999999999</v>
      </c>
      <c r="F15">
        <v>402.46</v>
      </c>
      <c r="G15">
        <v>6.0069999999999997</v>
      </c>
      <c r="H15">
        <v>2.9630000000000001</v>
      </c>
      <c r="I15">
        <v>2.3050000000000002</v>
      </c>
      <c r="J15">
        <v>85</v>
      </c>
      <c r="K15">
        <v>1.2689999999999999</v>
      </c>
      <c r="L15">
        <v>138.816</v>
      </c>
      <c r="M15">
        <v>2.0720000000000001</v>
      </c>
      <c r="N15">
        <v>1.633</v>
      </c>
      <c r="O15">
        <v>10</v>
      </c>
      <c r="P15">
        <v>0.14899999999999999</v>
      </c>
      <c r="Q15">
        <v>134</v>
      </c>
      <c r="R15">
        <v>2</v>
      </c>
      <c r="S15">
        <v>0.50600000000000001</v>
      </c>
    </row>
    <row r="16" spans="1:19" x14ac:dyDescent="0.25">
      <c r="A16" s="7">
        <v>20210409</v>
      </c>
      <c r="B16" t="s">
        <v>45</v>
      </c>
      <c r="C16">
        <v>57</v>
      </c>
      <c r="D16">
        <v>113.813</v>
      </c>
      <c r="E16">
        <v>1.9970000000000001</v>
      </c>
      <c r="F16">
        <v>514.54499999999996</v>
      </c>
      <c r="G16">
        <v>9.0269999999999992</v>
      </c>
      <c r="H16">
        <v>3.8849999999999998</v>
      </c>
      <c r="I16">
        <v>3.331</v>
      </c>
      <c r="J16">
        <v>89</v>
      </c>
      <c r="K16">
        <v>1.5609999999999999</v>
      </c>
      <c r="L16">
        <v>206.898</v>
      </c>
      <c r="M16">
        <v>3.63</v>
      </c>
      <c r="N16">
        <v>2.3250000000000002</v>
      </c>
      <c r="O16">
        <v>17</v>
      </c>
      <c r="P16">
        <v>0.29799999999999999</v>
      </c>
      <c r="Q16">
        <v>122</v>
      </c>
      <c r="R16">
        <v>2.14</v>
      </c>
      <c r="S16">
        <v>0.51100000000000001</v>
      </c>
    </row>
    <row r="17" spans="1:19" x14ac:dyDescent="0.25">
      <c r="A17" s="7">
        <v>20210409</v>
      </c>
      <c r="B17" t="s">
        <v>46</v>
      </c>
      <c r="C17">
        <v>98</v>
      </c>
      <c r="D17">
        <v>151.38300000000001</v>
      </c>
      <c r="E17">
        <v>1.5449999999999999</v>
      </c>
      <c r="F17">
        <v>677.87800000000004</v>
      </c>
      <c r="G17">
        <v>6.9169999999999998</v>
      </c>
      <c r="H17">
        <v>3.089</v>
      </c>
      <c r="I17">
        <v>2.5470000000000002</v>
      </c>
      <c r="J17">
        <v>135</v>
      </c>
      <c r="K17">
        <v>1.3779999999999999</v>
      </c>
      <c r="L17">
        <v>247.72900000000001</v>
      </c>
      <c r="M17">
        <v>2.528</v>
      </c>
      <c r="N17">
        <v>1.835</v>
      </c>
      <c r="O17">
        <v>19</v>
      </c>
      <c r="P17">
        <v>0.19400000000000001</v>
      </c>
      <c r="Q17">
        <v>200</v>
      </c>
      <c r="R17">
        <v>2.0409999999999999</v>
      </c>
      <c r="S17">
        <v>0.51800000000000002</v>
      </c>
    </row>
    <row r="18" spans="1:19" x14ac:dyDescent="0.25">
      <c r="A18" s="7">
        <v>20210409</v>
      </c>
      <c r="B18" t="s">
        <v>47</v>
      </c>
      <c r="C18">
        <v>120</v>
      </c>
      <c r="D18">
        <v>204.14</v>
      </c>
      <c r="E18">
        <v>1.7010000000000001</v>
      </c>
      <c r="F18">
        <v>928.25599999999997</v>
      </c>
      <c r="G18">
        <v>7.7350000000000003</v>
      </c>
      <c r="H18">
        <v>3.843</v>
      </c>
      <c r="I18">
        <v>2.891</v>
      </c>
      <c r="J18">
        <v>152</v>
      </c>
      <c r="K18">
        <v>1.2669999999999999</v>
      </c>
      <c r="L18">
        <v>360.18299999999999</v>
      </c>
      <c r="M18">
        <v>3.0019999999999998</v>
      </c>
      <c r="N18">
        <v>2.37</v>
      </c>
      <c r="O18">
        <v>17</v>
      </c>
      <c r="P18">
        <v>0.14199999999999999</v>
      </c>
      <c r="Q18">
        <v>242</v>
      </c>
      <c r="R18">
        <v>2.0169999999999999</v>
      </c>
      <c r="S18">
        <v>0.51400000000000001</v>
      </c>
    </row>
    <row r="19" spans="1:19" x14ac:dyDescent="0.25">
      <c r="A19" s="7">
        <v>20210409</v>
      </c>
      <c r="B19" t="s">
        <v>48</v>
      </c>
      <c r="C19">
        <v>65</v>
      </c>
      <c r="D19">
        <v>158.94399999999999</v>
      </c>
      <c r="E19">
        <v>2.4449999999999998</v>
      </c>
      <c r="F19">
        <v>696.58100000000002</v>
      </c>
      <c r="G19">
        <v>10.717000000000001</v>
      </c>
      <c r="H19">
        <v>3.1269999999999998</v>
      </c>
      <c r="I19">
        <v>3.8180000000000001</v>
      </c>
      <c r="J19">
        <v>126</v>
      </c>
      <c r="K19">
        <v>1.9379999999999999</v>
      </c>
      <c r="L19">
        <v>293.13499999999999</v>
      </c>
      <c r="M19">
        <v>4.51</v>
      </c>
      <c r="N19">
        <v>2.3260000000000001</v>
      </c>
      <c r="O19">
        <v>32</v>
      </c>
      <c r="P19">
        <v>0.49199999999999999</v>
      </c>
      <c r="Q19">
        <v>148</v>
      </c>
      <c r="R19">
        <v>2.2770000000000001</v>
      </c>
      <c r="S19">
        <v>0.51600000000000001</v>
      </c>
    </row>
    <row r="20" spans="1:19" x14ac:dyDescent="0.25">
      <c r="A20" s="7">
        <v>20210512</v>
      </c>
      <c r="B20" t="s">
        <v>40</v>
      </c>
      <c r="C20">
        <v>107</v>
      </c>
      <c r="D20">
        <v>208.56100000000001</v>
      </c>
      <c r="E20">
        <v>1.9490000000000001</v>
      </c>
      <c r="F20">
        <v>967.71</v>
      </c>
      <c r="G20">
        <v>9.0440000000000005</v>
      </c>
      <c r="H20">
        <v>3.1520000000000001</v>
      </c>
      <c r="I20">
        <v>3.4550000000000001</v>
      </c>
      <c r="J20">
        <v>186</v>
      </c>
      <c r="K20">
        <v>1.738</v>
      </c>
      <c r="L20">
        <v>397.28399999999999</v>
      </c>
      <c r="M20">
        <v>3.7130000000000001</v>
      </c>
      <c r="N20">
        <v>2.1360000000000001</v>
      </c>
      <c r="O20">
        <v>41</v>
      </c>
      <c r="P20">
        <v>0.38300000000000001</v>
      </c>
      <c r="Q20">
        <v>237</v>
      </c>
      <c r="R20">
        <v>2.2149999999999999</v>
      </c>
      <c r="S20">
        <v>0.495</v>
      </c>
    </row>
    <row r="21" spans="1:19" x14ac:dyDescent="0.25">
      <c r="A21" s="7">
        <v>20210512</v>
      </c>
      <c r="B21" t="s">
        <v>41</v>
      </c>
      <c r="C21">
        <v>140</v>
      </c>
      <c r="D21">
        <v>235.91200000000001</v>
      </c>
      <c r="E21">
        <v>1.6850000000000001</v>
      </c>
      <c r="F21">
        <v>1059.905</v>
      </c>
      <c r="G21">
        <v>7.5709999999999997</v>
      </c>
      <c r="H21">
        <v>3.1520000000000001</v>
      </c>
      <c r="I21">
        <v>2.8149999999999999</v>
      </c>
      <c r="J21">
        <v>216</v>
      </c>
      <c r="K21">
        <v>1.5429999999999999</v>
      </c>
      <c r="L21">
        <v>414.81900000000002</v>
      </c>
      <c r="M21">
        <v>2.9630000000000001</v>
      </c>
      <c r="N21">
        <v>1.92</v>
      </c>
      <c r="O21">
        <v>40</v>
      </c>
      <c r="P21">
        <v>0.28599999999999998</v>
      </c>
      <c r="Q21">
        <v>298</v>
      </c>
      <c r="R21">
        <v>2.129</v>
      </c>
      <c r="S21">
        <v>0.51400000000000001</v>
      </c>
    </row>
    <row r="22" spans="1:19" x14ac:dyDescent="0.25">
      <c r="A22" s="7">
        <v>20210512</v>
      </c>
      <c r="B22" t="s">
        <v>49</v>
      </c>
      <c r="C22">
        <v>103</v>
      </c>
      <c r="D22">
        <v>208.94900000000001</v>
      </c>
      <c r="E22">
        <v>2.0289999999999999</v>
      </c>
      <c r="F22">
        <v>933.90200000000004</v>
      </c>
      <c r="G22">
        <v>9.0670000000000002</v>
      </c>
      <c r="H22">
        <v>4.0209999999999999</v>
      </c>
      <c r="I22">
        <v>3.3290000000000002</v>
      </c>
      <c r="J22">
        <v>143</v>
      </c>
      <c r="K22">
        <v>1.3879999999999999</v>
      </c>
      <c r="L22">
        <v>380.43599999999998</v>
      </c>
      <c r="M22">
        <v>3.694</v>
      </c>
      <c r="N22">
        <v>2.66</v>
      </c>
      <c r="O22">
        <v>22</v>
      </c>
      <c r="P22">
        <v>0.214</v>
      </c>
      <c r="Q22">
        <v>210</v>
      </c>
      <c r="R22">
        <v>2.0390000000000001</v>
      </c>
      <c r="S22">
        <v>0.51100000000000001</v>
      </c>
    </row>
    <row r="23" spans="1:19" x14ac:dyDescent="0.25">
      <c r="A23" s="7">
        <v>20210512</v>
      </c>
      <c r="B23" t="s">
        <v>42</v>
      </c>
      <c r="C23">
        <v>169</v>
      </c>
      <c r="D23">
        <v>283.79399999999998</v>
      </c>
      <c r="E23">
        <v>1.679</v>
      </c>
      <c r="F23">
        <v>1352.6020000000001</v>
      </c>
      <c r="G23">
        <v>8.0039999999999996</v>
      </c>
      <c r="H23">
        <v>3.117</v>
      </c>
      <c r="I23">
        <v>3.1280000000000001</v>
      </c>
      <c r="J23">
        <v>275</v>
      </c>
      <c r="K23">
        <v>1.627</v>
      </c>
      <c r="L23">
        <v>524.72799999999995</v>
      </c>
      <c r="M23">
        <v>3.105</v>
      </c>
      <c r="N23">
        <v>1.9079999999999999</v>
      </c>
      <c r="O23">
        <v>54</v>
      </c>
      <c r="P23">
        <v>0.32</v>
      </c>
      <c r="Q23">
        <v>365</v>
      </c>
      <c r="R23">
        <v>2.16</v>
      </c>
      <c r="S23">
        <v>0.48399999999999999</v>
      </c>
    </row>
    <row r="24" spans="1:19" x14ac:dyDescent="0.25">
      <c r="A24" s="7">
        <v>20210512</v>
      </c>
      <c r="B24" t="s">
        <v>43</v>
      </c>
      <c r="C24">
        <v>109</v>
      </c>
      <c r="D24">
        <v>195.10599999999999</v>
      </c>
      <c r="E24">
        <v>1.79</v>
      </c>
      <c r="F24">
        <v>892.995</v>
      </c>
      <c r="G24">
        <v>8.1929999999999996</v>
      </c>
      <c r="H24">
        <v>3.786</v>
      </c>
      <c r="I24">
        <v>3.077</v>
      </c>
      <c r="J24">
        <v>151</v>
      </c>
      <c r="K24">
        <v>1.385</v>
      </c>
      <c r="L24">
        <v>365.64800000000002</v>
      </c>
      <c r="M24">
        <v>3.355</v>
      </c>
      <c r="N24">
        <v>2.4220000000000002</v>
      </c>
      <c r="O24">
        <v>23</v>
      </c>
      <c r="P24">
        <v>0.21099999999999999</v>
      </c>
      <c r="Q24">
        <v>225</v>
      </c>
      <c r="R24">
        <v>2.0640000000000001</v>
      </c>
      <c r="S24">
        <v>0.499</v>
      </c>
    </row>
    <row r="25" spans="1:19" x14ac:dyDescent="0.25">
      <c r="A25" s="7">
        <v>20210512</v>
      </c>
      <c r="B25" t="s">
        <v>44</v>
      </c>
      <c r="C25">
        <v>118</v>
      </c>
      <c r="D25">
        <v>243.86600000000001</v>
      </c>
      <c r="E25">
        <v>2.0670000000000002</v>
      </c>
      <c r="F25">
        <v>1116.575</v>
      </c>
      <c r="G25">
        <v>9.4629999999999992</v>
      </c>
      <c r="H25">
        <v>3.4780000000000002</v>
      </c>
      <c r="I25">
        <v>3.5379999999999998</v>
      </c>
      <c r="J25">
        <v>193</v>
      </c>
      <c r="K25">
        <v>1.6359999999999999</v>
      </c>
      <c r="L25">
        <v>459.3</v>
      </c>
      <c r="M25">
        <v>3.8919999999999999</v>
      </c>
      <c r="N25">
        <v>2.38</v>
      </c>
      <c r="O25">
        <v>40</v>
      </c>
      <c r="P25">
        <v>0.33900000000000002</v>
      </c>
      <c r="Q25">
        <v>256</v>
      </c>
      <c r="R25">
        <v>2.169</v>
      </c>
      <c r="S25">
        <v>0.497</v>
      </c>
    </row>
    <row r="26" spans="1:19" x14ac:dyDescent="0.25">
      <c r="A26" s="7">
        <v>20210512</v>
      </c>
      <c r="B26" t="s">
        <v>46</v>
      </c>
      <c r="C26">
        <v>127</v>
      </c>
      <c r="D26">
        <v>203.30600000000001</v>
      </c>
      <c r="E26">
        <v>1.601</v>
      </c>
      <c r="F26">
        <v>892.03599999999994</v>
      </c>
      <c r="G26">
        <v>7.024</v>
      </c>
      <c r="H26">
        <v>2.9529999999999998</v>
      </c>
      <c r="I26">
        <v>2.552</v>
      </c>
      <c r="J26">
        <v>181</v>
      </c>
      <c r="K26">
        <v>1.425</v>
      </c>
      <c r="L26">
        <v>327.36099999999999</v>
      </c>
      <c r="M26">
        <v>2.5779999999999998</v>
      </c>
      <c r="N26">
        <v>1.8089999999999999</v>
      </c>
      <c r="O26">
        <v>29</v>
      </c>
      <c r="P26">
        <v>0.22800000000000001</v>
      </c>
      <c r="Q26">
        <v>264</v>
      </c>
      <c r="R26">
        <v>2.0790000000000002</v>
      </c>
      <c r="S26">
        <v>0.53</v>
      </c>
    </row>
    <row r="27" spans="1:19" x14ac:dyDescent="0.25">
      <c r="A27" s="7">
        <v>20210512</v>
      </c>
      <c r="B27" t="s">
        <v>47</v>
      </c>
      <c r="C27">
        <v>113</v>
      </c>
      <c r="D27">
        <v>198.05</v>
      </c>
      <c r="E27">
        <v>1.7529999999999999</v>
      </c>
      <c r="F27">
        <v>907.00199999999995</v>
      </c>
      <c r="G27">
        <v>8.0269999999999992</v>
      </c>
      <c r="H27">
        <v>3.2160000000000002</v>
      </c>
      <c r="I27">
        <v>3.0089999999999999</v>
      </c>
      <c r="J27">
        <v>178</v>
      </c>
      <c r="K27">
        <v>1.575</v>
      </c>
      <c r="L27">
        <v>346.572</v>
      </c>
      <c r="M27">
        <v>3.0670000000000002</v>
      </c>
      <c r="N27">
        <v>1.9470000000000001</v>
      </c>
      <c r="O27">
        <v>33</v>
      </c>
      <c r="P27">
        <v>0.29199999999999998</v>
      </c>
      <c r="Q27">
        <v>246</v>
      </c>
      <c r="R27">
        <v>2.177</v>
      </c>
      <c r="S27">
        <v>0.504</v>
      </c>
    </row>
    <row r="28" spans="1:19" x14ac:dyDescent="0.25">
      <c r="A28" s="7">
        <v>20210409</v>
      </c>
      <c r="B28" t="s">
        <v>30</v>
      </c>
      <c r="C28">
        <v>112</v>
      </c>
      <c r="D28">
        <v>199.161</v>
      </c>
      <c r="E28">
        <v>1.778</v>
      </c>
      <c r="F28">
        <v>912.40899999999999</v>
      </c>
      <c r="G28">
        <v>8.1470000000000002</v>
      </c>
      <c r="H28">
        <v>3.0190000000000001</v>
      </c>
      <c r="I28">
        <v>3.0870000000000002</v>
      </c>
      <c r="J28">
        <v>179</v>
      </c>
      <c r="K28">
        <v>1.5980000000000001</v>
      </c>
      <c r="L28">
        <v>355.64600000000002</v>
      </c>
      <c r="M28">
        <v>3.1749999999999998</v>
      </c>
      <c r="N28">
        <v>1.9870000000000001</v>
      </c>
      <c r="O28">
        <v>35</v>
      </c>
      <c r="P28">
        <v>0.312</v>
      </c>
      <c r="Q28">
        <v>238</v>
      </c>
      <c r="R28">
        <v>2.125</v>
      </c>
      <c r="S28">
        <v>0.501</v>
      </c>
    </row>
    <row r="29" spans="1:19" x14ac:dyDescent="0.25">
      <c r="A29" s="7">
        <v>20210409</v>
      </c>
      <c r="B29" t="s">
        <v>31</v>
      </c>
      <c r="C29">
        <v>130</v>
      </c>
      <c r="D29">
        <v>178.899</v>
      </c>
      <c r="E29">
        <v>1.3759999999999999</v>
      </c>
      <c r="F29">
        <v>781.08100000000002</v>
      </c>
      <c r="G29">
        <v>6.008</v>
      </c>
      <c r="H29">
        <v>2.7839999999999998</v>
      </c>
      <c r="I29">
        <v>2.19</v>
      </c>
      <c r="J29">
        <v>158</v>
      </c>
      <c r="K29">
        <v>1.2150000000000001</v>
      </c>
      <c r="L29">
        <v>261.00400000000002</v>
      </c>
      <c r="M29">
        <v>2.008</v>
      </c>
      <c r="N29">
        <v>1.6519999999999999</v>
      </c>
      <c r="O29">
        <v>16</v>
      </c>
      <c r="P29">
        <v>0.123</v>
      </c>
      <c r="Q29">
        <v>251</v>
      </c>
      <c r="R29">
        <v>1.931</v>
      </c>
      <c r="S29">
        <v>0.53500000000000003</v>
      </c>
    </row>
    <row r="30" spans="1:19" x14ac:dyDescent="0.25">
      <c r="A30" s="7">
        <v>20210409</v>
      </c>
      <c r="B30" t="s">
        <v>32</v>
      </c>
      <c r="C30">
        <v>164</v>
      </c>
      <c r="D30">
        <v>295.39</v>
      </c>
      <c r="E30">
        <v>1.8009999999999999</v>
      </c>
      <c r="F30">
        <v>1369.027</v>
      </c>
      <c r="G30">
        <v>8.3480000000000008</v>
      </c>
      <c r="H30">
        <v>3.4870000000000001</v>
      </c>
      <c r="I30">
        <v>3.1669999999999998</v>
      </c>
      <c r="J30">
        <v>255</v>
      </c>
      <c r="K30">
        <v>1.5549999999999999</v>
      </c>
      <c r="L30">
        <v>539.34100000000001</v>
      </c>
      <c r="M30">
        <v>3.2890000000000001</v>
      </c>
      <c r="N30">
        <v>2.1150000000000002</v>
      </c>
      <c r="O30">
        <v>47</v>
      </c>
      <c r="P30">
        <v>0.28699999999999998</v>
      </c>
      <c r="Q30">
        <v>354</v>
      </c>
      <c r="R30">
        <v>2.1589999999999998</v>
      </c>
      <c r="S30">
        <v>0.499</v>
      </c>
    </row>
    <row r="31" spans="1:19" x14ac:dyDescent="0.25">
      <c r="A31" s="7">
        <v>20210409</v>
      </c>
      <c r="B31" t="s">
        <v>33</v>
      </c>
      <c r="C31">
        <v>247</v>
      </c>
      <c r="D31">
        <v>266.529</v>
      </c>
      <c r="E31">
        <v>1.079</v>
      </c>
      <c r="F31">
        <v>1396.2049999999999</v>
      </c>
      <c r="G31">
        <v>5.6529999999999996</v>
      </c>
      <c r="H31">
        <v>3.0720000000000001</v>
      </c>
      <c r="I31">
        <v>2.456</v>
      </c>
      <c r="J31">
        <v>303</v>
      </c>
      <c r="K31">
        <v>1.2270000000000001</v>
      </c>
      <c r="L31">
        <v>500.26900000000001</v>
      </c>
      <c r="M31">
        <v>2.0249999999999999</v>
      </c>
      <c r="N31">
        <v>1.651</v>
      </c>
      <c r="O31">
        <v>29</v>
      </c>
      <c r="P31">
        <v>0.11700000000000001</v>
      </c>
      <c r="Q31">
        <v>495</v>
      </c>
      <c r="R31">
        <v>2.004</v>
      </c>
      <c r="S31">
        <v>0.45900000000000002</v>
      </c>
    </row>
    <row r="32" spans="1:19" x14ac:dyDescent="0.25">
      <c r="A32" s="7">
        <v>20210409</v>
      </c>
      <c r="B32" t="s">
        <v>50</v>
      </c>
      <c r="C32">
        <v>87</v>
      </c>
      <c r="D32">
        <v>143.24700000000001</v>
      </c>
      <c r="E32">
        <v>1.647</v>
      </c>
      <c r="F32">
        <v>668.98199999999997</v>
      </c>
      <c r="G32">
        <v>7.6890000000000001</v>
      </c>
      <c r="H32">
        <v>2.5819999999999999</v>
      </c>
      <c r="I32">
        <v>2.952</v>
      </c>
      <c r="J32">
        <v>150</v>
      </c>
      <c r="K32">
        <v>1.724</v>
      </c>
      <c r="L32">
        <v>257.041</v>
      </c>
      <c r="M32">
        <v>2.9540000000000002</v>
      </c>
      <c r="N32">
        <v>1.714</v>
      </c>
      <c r="O32">
        <v>33</v>
      </c>
      <c r="P32">
        <v>0.379</v>
      </c>
      <c r="Q32">
        <v>191</v>
      </c>
      <c r="R32">
        <v>2.1949999999999998</v>
      </c>
      <c r="S32">
        <v>0.499</v>
      </c>
    </row>
    <row r="33" spans="1:19" x14ac:dyDescent="0.25">
      <c r="A33" s="7">
        <v>20210409</v>
      </c>
      <c r="B33" t="s">
        <v>34</v>
      </c>
      <c r="C33">
        <v>140</v>
      </c>
      <c r="D33">
        <v>284.40100000000001</v>
      </c>
      <c r="E33">
        <v>2.0310000000000001</v>
      </c>
      <c r="F33">
        <v>1244.761</v>
      </c>
      <c r="G33">
        <v>8.891</v>
      </c>
      <c r="H33">
        <v>3.5659999999999998</v>
      </c>
      <c r="I33">
        <v>3.198</v>
      </c>
      <c r="J33">
        <v>211</v>
      </c>
      <c r="K33">
        <v>1.5069999999999999</v>
      </c>
      <c r="L33">
        <v>484.916</v>
      </c>
      <c r="M33">
        <v>3.464</v>
      </c>
      <c r="N33">
        <v>2.298</v>
      </c>
      <c r="O33">
        <v>39</v>
      </c>
      <c r="P33">
        <v>0.27900000000000003</v>
      </c>
      <c r="Q33">
        <v>286</v>
      </c>
      <c r="R33">
        <v>2.0430000000000001</v>
      </c>
      <c r="S33">
        <v>0.51600000000000001</v>
      </c>
    </row>
    <row r="34" spans="1:19" x14ac:dyDescent="0.25">
      <c r="A34" s="7">
        <v>20210409</v>
      </c>
      <c r="B34" t="s">
        <v>35</v>
      </c>
      <c r="C34">
        <v>124</v>
      </c>
      <c r="D34">
        <v>266.904</v>
      </c>
      <c r="E34">
        <v>2.1520000000000001</v>
      </c>
      <c r="F34">
        <v>1235.8900000000001</v>
      </c>
      <c r="G34">
        <v>9.9670000000000005</v>
      </c>
      <c r="H34">
        <v>3.9609999999999999</v>
      </c>
      <c r="I34">
        <v>3.7709999999999999</v>
      </c>
      <c r="J34">
        <v>198</v>
      </c>
      <c r="K34">
        <v>1.597</v>
      </c>
      <c r="L34">
        <v>500.58199999999999</v>
      </c>
      <c r="M34">
        <v>4.0369999999999999</v>
      </c>
      <c r="N34">
        <v>2.528</v>
      </c>
      <c r="O34">
        <v>37</v>
      </c>
      <c r="P34">
        <v>0.29799999999999999</v>
      </c>
      <c r="Q34">
        <v>277</v>
      </c>
      <c r="R34">
        <v>2.234</v>
      </c>
      <c r="S34">
        <v>0.496</v>
      </c>
    </row>
    <row r="35" spans="1:19" x14ac:dyDescent="0.25">
      <c r="A35" s="7">
        <v>20220215</v>
      </c>
      <c r="B35" t="s">
        <v>30</v>
      </c>
      <c r="C35">
        <v>157</v>
      </c>
      <c r="D35">
        <v>225.21899999999999</v>
      </c>
      <c r="E35">
        <v>1.4350000000000001</v>
      </c>
      <c r="F35">
        <v>983.654</v>
      </c>
      <c r="G35">
        <v>6.2649999999999997</v>
      </c>
      <c r="H35">
        <v>3.1520000000000001</v>
      </c>
      <c r="I35">
        <v>2.2869999999999999</v>
      </c>
      <c r="J35">
        <v>190</v>
      </c>
      <c r="K35">
        <v>1.21</v>
      </c>
      <c r="L35">
        <v>339.55599999999998</v>
      </c>
      <c r="M35">
        <v>2.1629999999999998</v>
      </c>
      <c r="N35">
        <v>1.7869999999999999</v>
      </c>
      <c r="O35">
        <v>17</v>
      </c>
      <c r="P35">
        <v>0.108</v>
      </c>
      <c r="Q35">
        <v>309</v>
      </c>
      <c r="R35">
        <v>1.968</v>
      </c>
      <c r="S35">
        <v>0.54</v>
      </c>
    </row>
    <row r="36" spans="1:19" x14ac:dyDescent="0.25">
      <c r="A36" s="7">
        <v>20220215</v>
      </c>
      <c r="B36" t="s">
        <v>31</v>
      </c>
      <c r="C36">
        <v>86</v>
      </c>
      <c r="D36">
        <v>154.404</v>
      </c>
      <c r="E36">
        <v>1.7949999999999999</v>
      </c>
      <c r="F36">
        <v>695.56600000000003</v>
      </c>
      <c r="G36">
        <v>8.0879999999999992</v>
      </c>
      <c r="H36">
        <v>2.6509999999999998</v>
      </c>
      <c r="I36">
        <v>3.0139999999999998</v>
      </c>
      <c r="J36">
        <v>138</v>
      </c>
      <c r="K36">
        <v>1.605</v>
      </c>
      <c r="L36">
        <v>269.8</v>
      </c>
      <c r="M36">
        <v>3.137</v>
      </c>
      <c r="N36">
        <v>1.9550000000000001</v>
      </c>
      <c r="O36">
        <v>27</v>
      </c>
      <c r="P36">
        <v>0.314</v>
      </c>
      <c r="Q36">
        <v>179</v>
      </c>
      <c r="R36">
        <v>2.081</v>
      </c>
      <c r="S36">
        <v>0.50600000000000001</v>
      </c>
    </row>
    <row r="37" spans="1:19" x14ac:dyDescent="0.25">
      <c r="A37" s="7">
        <v>20220215</v>
      </c>
      <c r="B37" t="s">
        <v>32</v>
      </c>
      <c r="C37">
        <v>244</v>
      </c>
      <c r="D37">
        <v>430.90100000000001</v>
      </c>
      <c r="E37">
        <v>1.766</v>
      </c>
      <c r="F37">
        <v>2010.9670000000001</v>
      </c>
      <c r="G37">
        <v>8.2420000000000009</v>
      </c>
      <c r="H37">
        <v>3.66</v>
      </c>
      <c r="I37">
        <v>3.1360000000000001</v>
      </c>
      <c r="J37">
        <v>353</v>
      </c>
      <c r="K37">
        <v>1.4470000000000001</v>
      </c>
      <c r="L37">
        <v>786.73299999999995</v>
      </c>
      <c r="M37">
        <v>3.2240000000000002</v>
      </c>
      <c r="N37">
        <v>2.2290000000000001</v>
      </c>
      <c r="O37">
        <v>56</v>
      </c>
      <c r="P37">
        <v>0.23</v>
      </c>
      <c r="Q37">
        <v>517</v>
      </c>
      <c r="R37">
        <v>2.1190000000000002</v>
      </c>
      <c r="S37">
        <v>0.498</v>
      </c>
    </row>
    <row r="38" spans="1:19" x14ac:dyDescent="0.25">
      <c r="A38" s="7">
        <v>20220215</v>
      </c>
      <c r="B38" t="s">
        <v>33</v>
      </c>
      <c r="C38">
        <v>77</v>
      </c>
      <c r="D38">
        <v>218.38800000000001</v>
      </c>
      <c r="E38">
        <v>2.8359999999999999</v>
      </c>
      <c r="F38">
        <v>926.49099999999999</v>
      </c>
      <c r="G38">
        <v>12.032</v>
      </c>
      <c r="H38">
        <v>3.4870000000000001</v>
      </c>
      <c r="I38">
        <v>4.2149999999999999</v>
      </c>
      <c r="J38">
        <v>163</v>
      </c>
      <c r="K38">
        <v>2.117</v>
      </c>
      <c r="L38">
        <v>405.96100000000001</v>
      </c>
      <c r="M38">
        <v>5.2720000000000002</v>
      </c>
      <c r="N38">
        <v>2.4910000000000001</v>
      </c>
      <c r="O38">
        <v>45</v>
      </c>
      <c r="P38">
        <v>0.58399999999999996</v>
      </c>
      <c r="Q38">
        <v>184</v>
      </c>
      <c r="R38">
        <v>2.39</v>
      </c>
      <c r="S38">
        <v>0.50900000000000001</v>
      </c>
    </row>
    <row r="39" spans="1:19" x14ac:dyDescent="0.25">
      <c r="A39" s="7">
        <v>20220215</v>
      </c>
      <c r="B39" t="s">
        <v>34</v>
      </c>
      <c r="C39">
        <v>75</v>
      </c>
      <c r="D39">
        <v>143.71100000000001</v>
      </c>
      <c r="E39">
        <v>1.9159999999999999</v>
      </c>
      <c r="F39">
        <v>633.36800000000005</v>
      </c>
      <c r="G39">
        <v>8.4450000000000003</v>
      </c>
      <c r="H39">
        <v>2.9489999999999998</v>
      </c>
      <c r="I39">
        <v>3.0339999999999998</v>
      </c>
      <c r="J39">
        <v>124</v>
      </c>
      <c r="K39">
        <v>1.653</v>
      </c>
      <c r="L39">
        <v>246.096</v>
      </c>
      <c r="M39">
        <v>3.2810000000000001</v>
      </c>
      <c r="N39">
        <v>1.9850000000000001</v>
      </c>
      <c r="O39">
        <v>26</v>
      </c>
      <c r="P39">
        <v>0.34699999999999998</v>
      </c>
      <c r="Q39">
        <v>157</v>
      </c>
      <c r="R39">
        <v>2.093</v>
      </c>
      <c r="S39">
        <v>0.51600000000000001</v>
      </c>
    </row>
    <row r="40" spans="1:19" x14ac:dyDescent="0.25">
      <c r="A40" s="7">
        <v>20220215</v>
      </c>
      <c r="B40" t="s">
        <v>35</v>
      </c>
      <c r="C40">
        <v>78</v>
      </c>
      <c r="D40">
        <v>159.25899999999999</v>
      </c>
      <c r="E40">
        <v>2.0419999999999998</v>
      </c>
      <c r="F40">
        <v>675.053</v>
      </c>
      <c r="G40">
        <v>8.6549999999999994</v>
      </c>
      <c r="H40">
        <v>2.7029999999999998</v>
      </c>
      <c r="I40">
        <v>3.0059999999999998</v>
      </c>
      <c r="J40">
        <v>131</v>
      </c>
      <c r="K40">
        <v>1.679</v>
      </c>
      <c r="L40">
        <v>266.29199999999997</v>
      </c>
      <c r="M40">
        <v>3.4140000000000001</v>
      </c>
      <c r="N40">
        <v>2.0329999999999999</v>
      </c>
      <c r="O40">
        <v>31</v>
      </c>
      <c r="P40">
        <v>0.39700000000000002</v>
      </c>
      <c r="Q40">
        <v>158</v>
      </c>
      <c r="R40">
        <v>2.0259999999999998</v>
      </c>
      <c r="S40">
        <v>0.52</v>
      </c>
    </row>
    <row r="41" spans="1:19" x14ac:dyDescent="0.25">
      <c r="A41" s="7">
        <v>20220215</v>
      </c>
      <c r="B41" t="s">
        <v>36</v>
      </c>
      <c r="C41">
        <v>102</v>
      </c>
      <c r="D41">
        <v>285.37</v>
      </c>
      <c r="E41">
        <v>2.798</v>
      </c>
      <c r="F41">
        <v>1191.4469999999999</v>
      </c>
      <c r="G41">
        <v>11.680999999999999</v>
      </c>
      <c r="H41">
        <v>3.3679999999999999</v>
      </c>
      <c r="I41">
        <v>3.9729999999999999</v>
      </c>
      <c r="J41">
        <v>196</v>
      </c>
      <c r="K41">
        <v>1.9219999999999999</v>
      </c>
      <c r="L41">
        <v>505.709</v>
      </c>
      <c r="M41">
        <v>4.9580000000000002</v>
      </c>
      <c r="N41">
        <v>2.58</v>
      </c>
      <c r="O41">
        <v>50</v>
      </c>
      <c r="P41">
        <v>0.49</v>
      </c>
      <c r="Q41">
        <v>230</v>
      </c>
      <c r="R41">
        <v>2.2549999999999999</v>
      </c>
      <c r="S41">
        <v>0.52500000000000002</v>
      </c>
    </row>
    <row r="42" spans="1:19" x14ac:dyDescent="0.25">
      <c r="A42" s="7">
        <v>20220215</v>
      </c>
      <c r="B42" t="s">
        <v>37</v>
      </c>
      <c r="C42">
        <v>111</v>
      </c>
      <c r="D42">
        <v>247.52</v>
      </c>
      <c r="E42">
        <v>2.23</v>
      </c>
      <c r="F42">
        <v>1051.4169999999999</v>
      </c>
      <c r="G42">
        <v>9.4719999999999995</v>
      </c>
      <c r="H42">
        <v>3.3090000000000002</v>
      </c>
      <c r="I42">
        <v>3.2770000000000001</v>
      </c>
      <c r="J42">
        <v>186</v>
      </c>
      <c r="K42">
        <v>1.6759999999999999</v>
      </c>
      <c r="L42">
        <v>415.31799999999998</v>
      </c>
      <c r="M42">
        <v>3.742</v>
      </c>
      <c r="N42">
        <v>2.2330000000000001</v>
      </c>
      <c r="O42">
        <v>40</v>
      </c>
      <c r="P42">
        <v>0.36</v>
      </c>
      <c r="Q42">
        <v>239</v>
      </c>
      <c r="R42">
        <v>2.153</v>
      </c>
      <c r="S42">
        <v>0.52900000000000003</v>
      </c>
    </row>
    <row r="43" spans="1:19" x14ac:dyDescent="0.25">
      <c r="A43" s="7">
        <v>20220215</v>
      </c>
      <c r="B43" t="s">
        <v>38</v>
      </c>
      <c r="C43">
        <v>116</v>
      </c>
      <c r="D43">
        <v>358.26400000000001</v>
      </c>
      <c r="E43">
        <v>3.0880000000000001</v>
      </c>
      <c r="F43">
        <v>1519.396</v>
      </c>
      <c r="G43">
        <v>13.098000000000001</v>
      </c>
      <c r="H43">
        <v>4.3440000000000003</v>
      </c>
      <c r="I43">
        <v>4.5140000000000002</v>
      </c>
      <c r="J43">
        <v>192</v>
      </c>
      <c r="K43">
        <v>1.655</v>
      </c>
      <c r="L43">
        <v>659.56600000000003</v>
      </c>
      <c r="M43">
        <v>5.6859999999999999</v>
      </c>
      <c r="N43">
        <v>3.4350000000000001</v>
      </c>
      <c r="O43">
        <v>40</v>
      </c>
      <c r="P43">
        <v>0.34499999999999997</v>
      </c>
      <c r="Q43">
        <v>247</v>
      </c>
      <c r="R43">
        <v>2.129</v>
      </c>
      <c r="S43">
        <v>0.52400000000000002</v>
      </c>
    </row>
    <row r="44" spans="1:19" x14ac:dyDescent="0.25">
      <c r="A44" s="7">
        <v>20220215</v>
      </c>
      <c r="B44" t="s">
        <v>39</v>
      </c>
      <c r="C44">
        <v>85</v>
      </c>
      <c r="D44">
        <v>138.77799999999999</v>
      </c>
      <c r="E44">
        <v>1.633</v>
      </c>
      <c r="F44">
        <v>604.62900000000002</v>
      </c>
      <c r="G44">
        <v>7.1130000000000004</v>
      </c>
      <c r="H44">
        <v>2.722</v>
      </c>
      <c r="I44">
        <v>2.536</v>
      </c>
      <c r="J44">
        <v>124</v>
      </c>
      <c r="K44">
        <v>1.4590000000000001</v>
      </c>
      <c r="L44">
        <v>215.76499999999999</v>
      </c>
      <c r="M44">
        <v>2.5379999999999998</v>
      </c>
      <c r="N44">
        <v>1.74</v>
      </c>
      <c r="O44">
        <v>20</v>
      </c>
      <c r="P44">
        <v>0.23499999999999999</v>
      </c>
      <c r="Q44">
        <v>171</v>
      </c>
      <c r="R44">
        <v>2.012</v>
      </c>
      <c r="S44">
        <v>0.52900000000000003</v>
      </c>
    </row>
    <row r="45" spans="1:19" s="55" customFormat="1" x14ac:dyDescent="0.25">
      <c r="A45" s="54">
        <v>20220411</v>
      </c>
      <c r="B45" s="55" t="s">
        <v>169</v>
      </c>
      <c r="C45" s="55">
        <v>116</v>
      </c>
      <c r="D45" s="55">
        <v>225.922</v>
      </c>
      <c r="E45" s="55">
        <v>1.948</v>
      </c>
      <c r="F45" s="55">
        <v>991.17899999999997</v>
      </c>
      <c r="G45" s="55">
        <v>8.5449999999999999</v>
      </c>
      <c r="H45" s="55">
        <v>3.2909999999999999</v>
      </c>
      <c r="I45" s="55">
        <v>3.0680000000000001</v>
      </c>
      <c r="J45" s="55">
        <v>160</v>
      </c>
      <c r="K45" s="55">
        <v>1.379</v>
      </c>
      <c r="L45" s="55">
        <v>386.07299999999998</v>
      </c>
      <c r="M45" s="55">
        <v>3.3279999999999998</v>
      </c>
      <c r="N45" s="55">
        <v>2.4129999999999998</v>
      </c>
      <c r="O45" s="55">
        <v>23</v>
      </c>
      <c r="P45" s="55">
        <v>0.19800000000000001</v>
      </c>
      <c r="Q45" s="55">
        <v>235</v>
      </c>
      <c r="R45" s="55">
        <v>2.0259999999999998</v>
      </c>
      <c r="S45" s="55">
        <v>0.52500000000000002</v>
      </c>
    </row>
    <row r="46" spans="1:19" s="55" customFormat="1" x14ac:dyDescent="0.25">
      <c r="A46" s="54">
        <v>20220411</v>
      </c>
      <c r="B46" s="55" t="s">
        <v>170</v>
      </c>
      <c r="C46" s="55">
        <v>109</v>
      </c>
      <c r="D46" s="55">
        <v>158.666</v>
      </c>
      <c r="E46" s="55">
        <v>1.456</v>
      </c>
      <c r="F46" s="55">
        <v>739.08100000000002</v>
      </c>
      <c r="G46" s="55">
        <v>6.7809999999999997</v>
      </c>
      <c r="H46" s="55">
        <v>2.81</v>
      </c>
      <c r="I46" s="55">
        <v>2.585</v>
      </c>
      <c r="J46" s="55">
        <v>161</v>
      </c>
      <c r="K46" s="55">
        <v>1.4770000000000001</v>
      </c>
      <c r="L46" s="55">
        <v>272.02300000000002</v>
      </c>
      <c r="M46" s="55">
        <v>2.496</v>
      </c>
      <c r="N46" s="55">
        <v>1.69</v>
      </c>
      <c r="O46" s="55">
        <v>26</v>
      </c>
      <c r="P46" s="55">
        <v>0.23899999999999999</v>
      </c>
      <c r="Q46" s="55">
        <v>232</v>
      </c>
      <c r="R46" s="55">
        <v>2.1280000000000001</v>
      </c>
      <c r="S46" s="55">
        <v>0.50700000000000001</v>
      </c>
    </row>
    <row r="47" spans="1:19" s="55" customFormat="1" x14ac:dyDescent="0.25">
      <c r="A47" s="54">
        <v>20220411</v>
      </c>
      <c r="B47" s="55" t="s">
        <v>171</v>
      </c>
      <c r="C47" s="55">
        <v>125</v>
      </c>
      <c r="D47" s="55">
        <v>195.65100000000001</v>
      </c>
      <c r="E47" s="55">
        <v>1.5649999999999999</v>
      </c>
      <c r="F47" s="55">
        <v>853.80100000000004</v>
      </c>
      <c r="G47" s="55">
        <v>6.83</v>
      </c>
      <c r="H47" s="55">
        <v>2.702</v>
      </c>
      <c r="I47" s="55">
        <v>2.4630000000000001</v>
      </c>
      <c r="J47" s="55">
        <v>163</v>
      </c>
      <c r="K47" s="55">
        <v>1.304</v>
      </c>
      <c r="L47" s="55">
        <v>298.928</v>
      </c>
      <c r="M47" s="55">
        <v>2.391</v>
      </c>
      <c r="N47" s="55">
        <v>1.8340000000000001</v>
      </c>
      <c r="O47" s="55">
        <v>19</v>
      </c>
      <c r="P47" s="55">
        <v>0.152</v>
      </c>
      <c r="Q47" s="55">
        <v>252</v>
      </c>
      <c r="R47" s="55">
        <v>2.016</v>
      </c>
      <c r="S47" s="55">
        <v>0.53700000000000003</v>
      </c>
    </row>
    <row r="48" spans="1:19" s="55" customFormat="1" x14ac:dyDescent="0.25">
      <c r="A48" s="54">
        <v>20220411</v>
      </c>
      <c r="B48" s="55" t="s">
        <v>172</v>
      </c>
      <c r="C48" s="55">
        <v>99</v>
      </c>
      <c r="D48" s="55">
        <v>214.221</v>
      </c>
      <c r="E48" s="55">
        <v>2.1640000000000001</v>
      </c>
      <c r="F48" s="55">
        <v>922.95299999999997</v>
      </c>
      <c r="G48" s="55">
        <v>9.3230000000000004</v>
      </c>
      <c r="H48" s="55">
        <v>3.8319999999999999</v>
      </c>
      <c r="I48" s="55">
        <v>3.2970000000000002</v>
      </c>
      <c r="J48" s="55">
        <v>173</v>
      </c>
      <c r="K48" s="55">
        <v>1.7470000000000001</v>
      </c>
      <c r="L48" s="55">
        <v>365.09800000000001</v>
      </c>
      <c r="M48" s="55">
        <v>3.6880000000000002</v>
      </c>
      <c r="N48" s="55">
        <v>2.11</v>
      </c>
      <c r="O48" s="55">
        <v>38</v>
      </c>
      <c r="P48" s="55">
        <v>0.38400000000000001</v>
      </c>
      <c r="Q48" s="55">
        <v>224</v>
      </c>
      <c r="R48" s="55">
        <v>2.2629999999999999</v>
      </c>
      <c r="S48" s="55">
        <v>0.53500000000000003</v>
      </c>
    </row>
    <row r="49" spans="1:19" s="55" customFormat="1" x14ac:dyDescent="0.25">
      <c r="A49" s="54">
        <v>20220411</v>
      </c>
      <c r="B49" s="55" t="s">
        <v>173</v>
      </c>
      <c r="C49" s="55">
        <v>92</v>
      </c>
      <c r="D49" s="55">
        <v>145.708</v>
      </c>
      <c r="E49" s="55">
        <v>1.5840000000000001</v>
      </c>
      <c r="F49" s="55">
        <v>647.71500000000003</v>
      </c>
      <c r="G49" s="55">
        <v>7.04</v>
      </c>
      <c r="H49" s="55">
        <v>2.839</v>
      </c>
      <c r="I49" s="55">
        <v>2.5979999999999999</v>
      </c>
      <c r="J49" s="55">
        <v>127</v>
      </c>
      <c r="K49" s="55">
        <v>1.38</v>
      </c>
      <c r="L49" s="55">
        <v>240.86</v>
      </c>
      <c r="M49" s="55">
        <v>2.6179999999999999</v>
      </c>
      <c r="N49" s="55">
        <v>1.897</v>
      </c>
      <c r="O49" s="55">
        <v>18</v>
      </c>
      <c r="P49" s="55">
        <v>0.19600000000000001</v>
      </c>
      <c r="Q49" s="55">
        <v>190</v>
      </c>
      <c r="R49" s="55">
        <v>2.0649999999999999</v>
      </c>
      <c r="S49" s="55">
        <v>0.52200000000000002</v>
      </c>
    </row>
    <row r="50" spans="1:19" s="55" customFormat="1" x14ac:dyDescent="0.25">
      <c r="A50" s="54">
        <v>20220411</v>
      </c>
      <c r="B50" s="55" t="s">
        <v>174</v>
      </c>
      <c r="C50" s="55">
        <v>118</v>
      </c>
      <c r="D50" s="55">
        <v>169.72</v>
      </c>
      <c r="E50" s="55">
        <v>1.4379999999999999</v>
      </c>
      <c r="F50" s="55">
        <v>782.29300000000001</v>
      </c>
      <c r="G50" s="55">
        <v>6.63</v>
      </c>
      <c r="H50" s="55">
        <v>3.2869999999999999</v>
      </c>
      <c r="I50" s="55">
        <v>2.5</v>
      </c>
      <c r="J50" s="55">
        <v>140</v>
      </c>
      <c r="K50" s="55">
        <v>1.1859999999999999</v>
      </c>
      <c r="L50" s="55">
        <v>277.71800000000002</v>
      </c>
      <c r="M50" s="55">
        <v>2.3540000000000001</v>
      </c>
      <c r="N50" s="55">
        <v>1.984</v>
      </c>
      <c r="O50" s="55">
        <v>11</v>
      </c>
      <c r="P50" s="55">
        <v>9.2999999999999999E-2</v>
      </c>
      <c r="Q50" s="55">
        <v>238</v>
      </c>
      <c r="R50" s="55">
        <v>2.0169999999999999</v>
      </c>
      <c r="S50" s="55">
        <v>0.51700000000000002</v>
      </c>
    </row>
    <row r="51" spans="1:19" s="55" customFormat="1" x14ac:dyDescent="0.25">
      <c r="A51" s="54">
        <v>20220411</v>
      </c>
      <c r="B51" s="55" t="s">
        <v>175</v>
      </c>
      <c r="C51" s="55">
        <v>97</v>
      </c>
      <c r="D51" s="55">
        <v>136.041</v>
      </c>
      <c r="E51" s="55">
        <v>1.4019999999999999</v>
      </c>
      <c r="F51" s="55">
        <v>642.36300000000006</v>
      </c>
      <c r="G51" s="55">
        <v>6.6219999999999999</v>
      </c>
      <c r="H51" s="55">
        <v>2.5640000000000001</v>
      </c>
      <c r="I51" s="55">
        <v>2.5790000000000002</v>
      </c>
      <c r="J51" s="55">
        <v>153</v>
      </c>
      <c r="K51" s="55">
        <v>1.577</v>
      </c>
      <c r="L51" s="55">
        <v>237.102</v>
      </c>
      <c r="M51" s="55">
        <v>2.444</v>
      </c>
      <c r="N51" s="55">
        <v>1.55</v>
      </c>
      <c r="O51" s="55">
        <v>29</v>
      </c>
      <c r="P51" s="55">
        <v>0.29899999999999999</v>
      </c>
      <c r="Q51" s="55">
        <v>204</v>
      </c>
      <c r="R51" s="55">
        <v>2.1030000000000002</v>
      </c>
      <c r="S51" s="55">
        <v>0.496</v>
      </c>
    </row>
    <row r="52" spans="1:19" s="55" customFormat="1" x14ac:dyDescent="0.25">
      <c r="A52" s="54">
        <v>20220411</v>
      </c>
      <c r="B52" s="55" t="s">
        <v>176</v>
      </c>
      <c r="C52" s="55">
        <v>137</v>
      </c>
      <c r="D52" s="55">
        <v>229.70599999999999</v>
      </c>
      <c r="E52" s="55">
        <v>1.677</v>
      </c>
      <c r="F52" s="55">
        <v>1071.8510000000001</v>
      </c>
      <c r="G52" s="55">
        <v>7.8239999999999998</v>
      </c>
      <c r="H52" s="55">
        <v>3.8969999999999998</v>
      </c>
      <c r="I52" s="55">
        <v>2.99</v>
      </c>
      <c r="J52" s="55">
        <v>180</v>
      </c>
      <c r="K52" s="55">
        <v>1.3140000000000001</v>
      </c>
      <c r="L52" s="55">
        <v>415.07400000000001</v>
      </c>
      <c r="M52" s="55">
        <v>3.03</v>
      </c>
      <c r="N52" s="55">
        <v>2.306</v>
      </c>
      <c r="O52" s="55">
        <v>22</v>
      </c>
      <c r="P52" s="55">
        <v>0.161</v>
      </c>
      <c r="Q52" s="55">
        <v>285</v>
      </c>
      <c r="R52" s="55">
        <v>2.08</v>
      </c>
      <c r="S52" s="55">
        <v>0.503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zoomScale="70" zoomScaleNormal="70" workbookViewId="0">
      <selection activeCell="Q48" sqref="Q48"/>
    </sheetView>
  </sheetViews>
  <sheetFormatPr baseColWidth="10" defaultRowHeight="15" x14ac:dyDescent="0.25"/>
  <cols>
    <col min="1" max="1" width="18.85546875" customWidth="1"/>
    <col min="2" max="2" width="96.85546875" customWidth="1"/>
    <col min="6" max="6" width="15.85546875" customWidth="1"/>
    <col min="7" max="7" width="15.7109375" customWidth="1"/>
    <col min="8" max="8" width="18.28515625" customWidth="1"/>
    <col min="9" max="9" width="17.5703125" customWidth="1"/>
    <col min="11" max="11" width="16" customWidth="1"/>
    <col min="12" max="12" width="19.140625" customWidth="1"/>
    <col min="13" max="13" width="25.5703125" customWidth="1"/>
    <col min="14" max="14" width="20.7109375" customWidth="1"/>
    <col min="15" max="15" width="17.85546875" customWidth="1"/>
    <col min="16" max="16" width="21.85546875" customWidth="1"/>
    <col min="17" max="17" width="18.28515625" customWidth="1"/>
    <col min="18" max="18" width="24.140625" customWidth="1"/>
    <col min="19" max="19" width="23.7109375" customWidth="1"/>
  </cols>
  <sheetData>
    <row r="1" spans="1:19" x14ac:dyDescent="0.25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2" customFormat="1" x14ac:dyDescent="0.25">
      <c r="A2" s="1" t="s">
        <v>18</v>
      </c>
      <c r="B2" s="1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</row>
    <row r="3" spans="1:19" s="4" customFormat="1" ht="15.75" x14ac:dyDescent="0.25">
      <c r="A3" s="7">
        <v>20210409</v>
      </c>
      <c r="B3" s="4" t="s">
        <v>93</v>
      </c>
      <c r="C3" s="4">
        <v>96</v>
      </c>
      <c r="D3" s="4">
        <v>250.72300000000001</v>
      </c>
      <c r="E3" s="4">
        <v>2.6120000000000001</v>
      </c>
      <c r="F3" s="4">
        <v>1200.194</v>
      </c>
      <c r="G3" s="4">
        <v>12.502000000000001</v>
      </c>
      <c r="H3" s="4">
        <v>4.9320000000000004</v>
      </c>
      <c r="I3" s="4">
        <v>4.8639999999999999</v>
      </c>
      <c r="J3" s="4">
        <v>173</v>
      </c>
      <c r="K3" s="4">
        <v>1.802</v>
      </c>
      <c r="L3" s="4">
        <v>528.95100000000002</v>
      </c>
      <c r="M3" s="6">
        <v>5.51</v>
      </c>
      <c r="N3" s="6">
        <v>3.0579999999999998</v>
      </c>
      <c r="O3" s="6">
        <v>39</v>
      </c>
      <c r="P3" s="6">
        <v>0.40600000000000003</v>
      </c>
      <c r="Q3" s="6">
        <v>221</v>
      </c>
      <c r="R3" s="6">
        <v>2.302</v>
      </c>
      <c r="S3" s="6">
        <v>0.48099999999999998</v>
      </c>
    </row>
    <row r="4" spans="1:19" s="4" customFormat="1" x14ac:dyDescent="0.25">
      <c r="A4" s="7">
        <v>20210409</v>
      </c>
      <c r="B4" s="4" t="s">
        <v>94</v>
      </c>
      <c r="C4" s="4">
        <v>118</v>
      </c>
      <c r="D4" s="4">
        <v>319.483</v>
      </c>
      <c r="E4" s="4">
        <v>2.7069999999999999</v>
      </c>
      <c r="F4" s="4">
        <v>1414.3920000000001</v>
      </c>
      <c r="G4" s="4">
        <v>11.986000000000001</v>
      </c>
      <c r="H4" s="4">
        <v>3.6859999999999999</v>
      </c>
      <c r="I4" s="4">
        <v>4.3929999999999998</v>
      </c>
      <c r="J4" s="4">
        <v>227</v>
      </c>
      <c r="K4" s="4">
        <v>1.9239999999999999</v>
      </c>
      <c r="L4" s="4">
        <v>644.49</v>
      </c>
      <c r="M4" s="4">
        <v>5.4619999999999997</v>
      </c>
      <c r="N4" s="4">
        <v>2.839</v>
      </c>
      <c r="O4" s="4">
        <v>57</v>
      </c>
      <c r="P4" s="4">
        <v>0.48299999999999998</v>
      </c>
      <c r="Q4" s="4">
        <v>265</v>
      </c>
      <c r="R4" s="4">
        <v>2.246</v>
      </c>
      <c r="S4" s="4">
        <v>0.49099999999999999</v>
      </c>
    </row>
    <row r="5" spans="1:19" s="4" customFormat="1" x14ac:dyDescent="0.25">
      <c r="A5" s="7">
        <v>20210409</v>
      </c>
      <c r="B5" s="4" t="s">
        <v>95</v>
      </c>
      <c r="C5" s="4">
        <v>107</v>
      </c>
      <c r="D5" s="4">
        <v>221.89400000000001</v>
      </c>
      <c r="E5" s="4">
        <v>2.0739999999999998</v>
      </c>
      <c r="F5" s="4">
        <v>1081.8710000000001</v>
      </c>
      <c r="G5" s="4">
        <v>10.111000000000001</v>
      </c>
      <c r="H5" s="4">
        <v>3.67</v>
      </c>
      <c r="I5" s="4">
        <v>4.0389999999999997</v>
      </c>
      <c r="J5" s="4">
        <v>184</v>
      </c>
      <c r="K5" s="4">
        <v>1.72</v>
      </c>
      <c r="L5" s="4">
        <v>463.66699999999997</v>
      </c>
      <c r="M5" s="4">
        <v>4.3330000000000002</v>
      </c>
      <c r="N5" s="4">
        <v>2.52</v>
      </c>
      <c r="O5" s="4">
        <v>39</v>
      </c>
      <c r="P5" s="4">
        <v>0.36399999999999999</v>
      </c>
      <c r="Q5" s="4">
        <v>242</v>
      </c>
      <c r="R5" s="4">
        <v>2.262</v>
      </c>
      <c r="S5" s="4">
        <v>0.47399999999999998</v>
      </c>
    </row>
    <row r="6" spans="1:19" s="4" customFormat="1" x14ac:dyDescent="0.25">
      <c r="A6" s="7">
        <v>20210409</v>
      </c>
      <c r="B6" s="4" t="s">
        <v>96</v>
      </c>
      <c r="C6" s="4">
        <v>84</v>
      </c>
      <c r="D6" s="4">
        <v>175.24600000000001</v>
      </c>
      <c r="E6" s="4">
        <v>2.0859999999999999</v>
      </c>
      <c r="F6" s="4">
        <v>844.66499999999996</v>
      </c>
      <c r="G6" s="4">
        <v>10.055999999999999</v>
      </c>
      <c r="H6" s="4">
        <v>2.9889999999999999</v>
      </c>
      <c r="I6" s="4">
        <v>3.9830000000000001</v>
      </c>
      <c r="J6" s="4">
        <v>179</v>
      </c>
      <c r="K6" s="4">
        <v>2.1309999999999998</v>
      </c>
      <c r="L6" s="4">
        <v>369.65699999999998</v>
      </c>
      <c r="M6" s="4">
        <v>4.4009999999999998</v>
      </c>
      <c r="N6" s="4">
        <v>2.0649999999999999</v>
      </c>
      <c r="O6" s="4">
        <v>50</v>
      </c>
      <c r="P6" s="4">
        <v>0.59499999999999997</v>
      </c>
      <c r="Q6" s="4">
        <v>201</v>
      </c>
      <c r="R6" s="4">
        <v>2.3929999999999998</v>
      </c>
      <c r="S6" s="4">
        <v>0.46200000000000002</v>
      </c>
    </row>
    <row r="7" spans="1:19" s="4" customFormat="1" x14ac:dyDescent="0.25">
      <c r="A7" s="7">
        <v>20210409</v>
      </c>
      <c r="B7" s="4" t="s">
        <v>97</v>
      </c>
      <c r="C7" s="4">
        <v>97</v>
      </c>
      <c r="D7" s="4">
        <v>145.71600000000001</v>
      </c>
      <c r="E7" s="4">
        <v>1.502</v>
      </c>
      <c r="F7" s="4">
        <v>728.798</v>
      </c>
      <c r="G7" s="4">
        <v>7.5129999999999999</v>
      </c>
      <c r="H7" s="4">
        <v>2.6920000000000002</v>
      </c>
      <c r="I7" s="4">
        <v>3.125</v>
      </c>
      <c r="J7" s="4">
        <v>153</v>
      </c>
      <c r="K7" s="4">
        <v>1.577</v>
      </c>
      <c r="L7" s="4">
        <v>298.56700000000001</v>
      </c>
      <c r="M7" s="4">
        <v>3.0779999999999998</v>
      </c>
      <c r="N7" s="4">
        <v>1.9510000000000001</v>
      </c>
      <c r="O7" s="4">
        <v>30</v>
      </c>
      <c r="P7" s="4">
        <v>0.309</v>
      </c>
      <c r="Q7" s="4">
        <v>206</v>
      </c>
      <c r="R7" s="4">
        <v>2.1240000000000001</v>
      </c>
      <c r="S7" s="4">
        <v>0.46300000000000002</v>
      </c>
    </row>
    <row r="8" spans="1:19" s="4" customFormat="1" x14ac:dyDescent="0.25">
      <c r="A8" s="7">
        <v>20210409</v>
      </c>
      <c r="B8" s="4" t="s">
        <v>98</v>
      </c>
      <c r="C8" s="4">
        <v>112</v>
      </c>
      <c r="D8" s="4">
        <v>156.84299999999999</v>
      </c>
      <c r="E8" s="4">
        <v>1.4</v>
      </c>
      <c r="F8" s="4">
        <v>800.06399999999996</v>
      </c>
      <c r="G8" s="4">
        <v>7.1429999999999998</v>
      </c>
      <c r="H8" s="4">
        <v>3.78</v>
      </c>
      <c r="I8" s="4">
        <v>3.012</v>
      </c>
      <c r="J8" s="4">
        <v>149</v>
      </c>
      <c r="K8" s="4">
        <v>1.33</v>
      </c>
      <c r="L8" s="4">
        <v>306.82400000000001</v>
      </c>
      <c r="M8" s="4">
        <v>2.7389999999999999</v>
      </c>
      <c r="N8" s="4">
        <v>2.0590000000000002</v>
      </c>
      <c r="O8" s="4">
        <v>19</v>
      </c>
      <c r="P8" s="4">
        <v>0.17</v>
      </c>
      <c r="Q8" s="4">
        <v>232</v>
      </c>
      <c r="R8" s="4">
        <v>2.0710000000000002</v>
      </c>
      <c r="S8" s="4">
        <v>0.46400000000000002</v>
      </c>
    </row>
    <row r="9" spans="1:19" s="4" customFormat="1" x14ac:dyDescent="0.25">
      <c r="A9" s="7">
        <v>20210409</v>
      </c>
      <c r="B9" s="4" t="s">
        <v>99</v>
      </c>
      <c r="C9" s="4">
        <v>70</v>
      </c>
      <c r="D9" s="4">
        <v>194.79</v>
      </c>
      <c r="E9" s="4">
        <v>2.7829999999999999</v>
      </c>
      <c r="F9" s="4">
        <v>917.024</v>
      </c>
      <c r="G9" s="4">
        <v>13.1</v>
      </c>
      <c r="H9" s="4">
        <v>4.1369999999999996</v>
      </c>
      <c r="I9" s="4">
        <v>5.0609999999999999</v>
      </c>
      <c r="J9" s="4">
        <v>133</v>
      </c>
      <c r="K9" s="4">
        <v>1.9</v>
      </c>
      <c r="L9" s="4">
        <v>414.73500000000001</v>
      </c>
      <c r="M9" s="4">
        <v>5.9249999999999998</v>
      </c>
      <c r="N9" s="4">
        <v>3.1179999999999999</v>
      </c>
      <c r="O9" s="4">
        <v>33</v>
      </c>
      <c r="P9" s="4">
        <v>0.47099999999999997</v>
      </c>
      <c r="Q9" s="4">
        <v>152</v>
      </c>
      <c r="R9" s="4">
        <v>2.1709999999999998</v>
      </c>
      <c r="S9" s="4">
        <v>0.47799999999999998</v>
      </c>
    </row>
    <row r="10" spans="1:19" s="4" customFormat="1" x14ac:dyDescent="0.25">
      <c r="A10" s="7">
        <v>20210409</v>
      </c>
      <c r="B10" s="4" t="s">
        <v>100</v>
      </c>
      <c r="C10" s="4">
        <v>240</v>
      </c>
      <c r="D10" s="4">
        <v>421.37799999999999</v>
      </c>
      <c r="E10" s="4">
        <v>1.756</v>
      </c>
      <c r="F10" s="4">
        <v>2156.8409999999999</v>
      </c>
      <c r="G10" s="4">
        <v>8.9870000000000001</v>
      </c>
      <c r="H10" s="4">
        <v>4.46</v>
      </c>
      <c r="I10" s="4">
        <v>3.7559999999999998</v>
      </c>
      <c r="J10" s="4">
        <v>333</v>
      </c>
      <c r="K10" s="4">
        <v>1.387</v>
      </c>
      <c r="L10" s="4">
        <v>895.33100000000002</v>
      </c>
      <c r="M10" s="4">
        <v>3.7309999999999999</v>
      </c>
      <c r="N10" s="4">
        <v>2.6890000000000001</v>
      </c>
      <c r="O10" s="4">
        <v>47</v>
      </c>
      <c r="P10" s="4">
        <v>0.19600000000000001</v>
      </c>
      <c r="Q10" s="4">
        <v>501</v>
      </c>
      <c r="R10" s="4">
        <v>2.0870000000000002</v>
      </c>
      <c r="S10" s="4">
        <v>0.46</v>
      </c>
    </row>
    <row r="11" spans="1:19" s="55" customFormat="1" x14ac:dyDescent="0.25">
      <c r="A11" s="56">
        <v>20220411</v>
      </c>
      <c r="B11" s="55" t="s">
        <v>93</v>
      </c>
      <c r="C11" s="55">
        <v>102</v>
      </c>
      <c r="D11" s="55">
        <v>181.53800000000001</v>
      </c>
      <c r="E11" s="55">
        <v>1.78</v>
      </c>
      <c r="F11" s="55">
        <v>874.98500000000001</v>
      </c>
      <c r="G11" s="55">
        <v>8.5779999999999994</v>
      </c>
      <c r="H11" s="55">
        <v>2.7330000000000001</v>
      </c>
      <c r="I11" s="55">
        <v>3.411</v>
      </c>
      <c r="J11" s="55">
        <v>173</v>
      </c>
      <c r="K11" s="55">
        <v>1.696</v>
      </c>
      <c r="L11" s="55">
        <v>350.36099999999999</v>
      </c>
      <c r="M11" s="55">
        <v>3.4350000000000001</v>
      </c>
      <c r="N11" s="55">
        <v>2.0249999999999999</v>
      </c>
      <c r="O11" s="55">
        <v>36</v>
      </c>
      <c r="P11" s="55">
        <v>0.35299999999999998</v>
      </c>
      <c r="Q11" s="55">
        <v>219</v>
      </c>
      <c r="R11" s="55">
        <v>2.1469999999999998</v>
      </c>
      <c r="S11" s="55">
        <v>0.47899999999999998</v>
      </c>
    </row>
    <row r="12" spans="1:19" s="55" customFormat="1" x14ac:dyDescent="0.25">
      <c r="A12" s="56">
        <v>20220411</v>
      </c>
      <c r="B12" s="55" t="s">
        <v>94</v>
      </c>
      <c r="C12" s="55">
        <v>164</v>
      </c>
      <c r="D12" s="55">
        <v>285.66300000000001</v>
      </c>
      <c r="E12" s="55">
        <v>1.742</v>
      </c>
      <c r="F12" s="55">
        <v>1361.691</v>
      </c>
      <c r="G12" s="55">
        <v>8.3030000000000008</v>
      </c>
      <c r="H12" s="55">
        <v>2.831</v>
      </c>
      <c r="I12" s="55">
        <v>3.2749999999999999</v>
      </c>
      <c r="J12" s="55">
        <v>282</v>
      </c>
      <c r="K12" s="55">
        <v>1.72</v>
      </c>
      <c r="L12" s="55">
        <v>536.55100000000004</v>
      </c>
      <c r="M12" s="55">
        <v>3.2719999999999998</v>
      </c>
      <c r="N12" s="55">
        <v>1.903</v>
      </c>
      <c r="O12" s="55">
        <v>62</v>
      </c>
      <c r="P12" s="55">
        <v>0.378</v>
      </c>
      <c r="Q12" s="55">
        <v>351</v>
      </c>
      <c r="R12" s="55">
        <v>2.14</v>
      </c>
      <c r="S12" s="55">
        <v>0.48399999999999999</v>
      </c>
    </row>
    <row r="13" spans="1:19" s="55" customFormat="1" x14ac:dyDescent="0.25">
      <c r="A13" s="56">
        <v>20220411</v>
      </c>
      <c r="B13" s="55" t="s">
        <v>95</v>
      </c>
      <c r="C13" s="55">
        <v>155</v>
      </c>
      <c r="D13" s="55">
        <v>434.03899999999999</v>
      </c>
      <c r="E13" s="55">
        <v>2.8</v>
      </c>
      <c r="F13" s="55">
        <v>1814.1379999999999</v>
      </c>
      <c r="G13" s="55">
        <v>11.704000000000001</v>
      </c>
      <c r="H13" s="55">
        <v>3.4079999999999999</v>
      </c>
      <c r="I13" s="55">
        <v>4.0469999999999997</v>
      </c>
      <c r="J13" s="55">
        <v>317</v>
      </c>
      <c r="K13" s="55">
        <v>2.0449999999999999</v>
      </c>
      <c r="L13" s="55">
        <v>821.98400000000004</v>
      </c>
      <c r="M13" s="55">
        <v>5.3029999999999999</v>
      </c>
      <c r="N13" s="55">
        <v>2.593</v>
      </c>
      <c r="O13" s="55">
        <v>86</v>
      </c>
      <c r="P13" s="55">
        <v>0.55500000000000005</v>
      </c>
      <c r="Q13" s="55">
        <v>362</v>
      </c>
      <c r="R13" s="55">
        <v>2.335</v>
      </c>
      <c r="S13" s="55">
        <v>0.505</v>
      </c>
    </row>
    <row r="14" spans="1:19" s="55" customFormat="1" x14ac:dyDescent="0.25">
      <c r="A14" s="56">
        <v>20220411</v>
      </c>
      <c r="B14" s="55" t="s">
        <v>96</v>
      </c>
      <c r="C14" s="55">
        <v>70</v>
      </c>
      <c r="D14" s="55">
        <v>277.524</v>
      </c>
      <c r="E14" s="55">
        <v>3.9649999999999999</v>
      </c>
      <c r="F14" s="55">
        <v>1127.3630000000001</v>
      </c>
      <c r="G14" s="55">
        <v>16.105</v>
      </c>
      <c r="H14" s="55">
        <v>2.722</v>
      </c>
      <c r="I14" s="55">
        <v>5.3470000000000004</v>
      </c>
      <c r="J14" s="55">
        <v>240</v>
      </c>
      <c r="K14" s="55">
        <v>3.4289999999999998</v>
      </c>
      <c r="L14" s="55">
        <v>539.91999999999996</v>
      </c>
      <c r="M14" s="55">
        <v>7.7130000000000001</v>
      </c>
      <c r="N14" s="55">
        <v>2.25</v>
      </c>
      <c r="O14" s="55">
        <v>90</v>
      </c>
      <c r="P14" s="55">
        <v>1.286</v>
      </c>
      <c r="Q14" s="55">
        <v>205</v>
      </c>
      <c r="R14" s="55">
        <v>2.9289999999999998</v>
      </c>
      <c r="S14" s="55">
        <v>0.50600000000000001</v>
      </c>
    </row>
    <row r="15" spans="1:19" s="55" customFormat="1" x14ac:dyDescent="0.25">
      <c r="A15" s="56">
        <v>20220411</v>
      </c>
      <c r="B15" s="55" t="s">
        <v>99</v>
      </c>
      <c r="C15" s="55">
        <v>278</v>
      </c>
      <c r="D15" s="55">
        <v>396.86</v>
      </c>
      <c r="E15" s="55">
        <v>1.4279999999999999</v>
      </c>
      <c r="F15" s="55">
        <v>1981.8879999999999</v>
      </c>
      <c r="G15" s="55">
        <v>7.1289999999999996</v>
      </c>
      <c r="H15" s="55">
        <v>3.105</v>
      </c>
      <c r="I15" s="55">
        <v>2.9529999999999998</v>
      </c>
      <c r="J15" s="55">
        <v>428</v>
      </c>
      <c r="K15" s="55">
        <v>1.54</v>
      </c>
      <c r="L15" s="55">
        <v>780.30200000000002</v>
      </c>
      <c r="M15" s="55">
        <v>2.8069999999999999</v>
      </c>
      <c r="N15" s="55">
        <v>1.823</v>
      </c>
      <c r="O15" s="55">
        <v>75</v>
      </c>
      <c r="P15" s="55">
        <v>0.27</v>
      </c>
      <c r="Q15" s="55">
        <v>595</v>
      </c>
      <c r="R15" s="55">
        <v>2.14</v>
      </c>
      <c r="S15" s="55">
        <v>0.46899999999999997</v>
      </c>
    </row>
    <row r="16" spans="1:19" s="55" customFormat="1" x14ac:dyDescent="0.25">
      <c r="A16" s="56">
        <v>20220411</v>
      </c>
      <c r="B16" s="55" t="s">
        <v>100</v>
      </c>
      <c r="C16" s="55">
        <v>152</v>
      </c>
      <c r="D16" s="55">
        <v>400.81299999999999</v>
      </c>
      <c r="E16" s="55">
        <v>2.637</v>
      </c>
      <c r="F16" s="55">
        <v>1808.588</v>
      </c>
      <c r="G16" s="55">
        <v>11.898999999999999</v>
      </c>
      <c r="H16" s="55">
        <v>3.3620000000000001</v>
      </c>
      <c r="I16" s="55">
        <v>4.4180000000000001</v>
      </c>
      <c r="J16" s="55">
        <v>342</v>
      </c>
      <c r="K16" s="55">
        <v>2.25</v>
      </c>
      <c r="L16" s="55">
        <v>816.62400000000002</v>
      </c>
      <c r="M16" s="55">
        <v>5.3730000000000002</v>
      </c>
      <c r="N16" s="55">
        <v>2.3879999999999999</v>
      </c>
      <c r="O16" s="55">
        <v>100</v>
      </c>
      <c r="P16" s="55">
        <v>0.65800000000000003</v>
      </c>
      <c r="Q16" s="55">
        <v>367</v>
      </c>
      <c r="R16" s="55">
        <v>2.4140000000000001</v>
      </c>
      <c r="S16" s="55">
        <v>0.48499999999999999</v>
      </c>
    </row>
    <row r="17" spans="1:20" s="38" customFormat="1" ht="15.75" thickBot="1" x14ac:dyDescent="0.3">
      <c r="A17" s="37"/>
    </row>
    <row r="18" spans="1:20" s="51" customFormat="1" ht="16.5" thickTop="1" x14ac:dyDescent="0.25">
      <c r="A18" s="50" t="s">
        <v>147</v>
      </c>
      <c r="M18" s="52"/>
      <c r="N18" s="52"/>
      <c r="P18" s="52"/>
      <c r="Q18" s="52"/>
      <c r="S18" s="52"/>
      <c r="T18" s="52"/>
    </row>
    <row r="19" spans="1:20" x14ac:dyDescent="0.25">
      <c r="A19" s="7">
        <v>20210409</v>
      </c>
      <c r="B19" t="s">
        <v>118</v>
      </c>
      <c r="C19">
        <v>51</v>
      </c>
      <c r="D19">
        <v>104.54</v>
      </c>
      <c r="E19">
        <v>2.0499999999999998</v>
      </c>
      <c r="F19">
        <v>495.13</v>
      </c>
      <c r="G19">
        <v>9.7080000000000002</v>
      </c>
      <c r="H19">
        <v>3.0430000000000001</v>
      </c>
      <c r="I19">
        <v>3.7839999999999998</v>
      </c>
      <c r="J19">
        <v>90</v>
      </c>
      <c r="K19">
        <v>1.7649999999999999</v>
      </c>
      <c r="L19">
        <v>214.04599999999999</v>
      </c>
      <c r="M19">
        <v>4.1970000000000001</v>
      </c>
      <c r="N19">
        <v>2.3780000000000001</v>
      </c>
      <c r="O19">
        <v>21</v>
      </c>
      <c r="P19">
        <v>0.41199999999999998</v>
      </c>
      <c r="Q19">
        <v>115</v>
      </c>
      <c r="R19">
        <v>2.2549999999999999</v>
      </c>
      <c r="S19">
        <v>0.48299999999999998</v>
      </c>
    </row>
    <row r="20" spans="1:20" x14ac:dyDescent="0.25">
      <c r="A20" s="7">
        <v>20210409</v>
      </c>
      <c r="B20" t="s">
        <v>119</v>
      </c>
      <c r="C20">
        <v>89</v>
      </c>
      <c r="D20">
        <v>118.72799999999999</v>
      </c>
      <c r="E20">
        <v>1.3340000000000001</v>
      </c>
      <c r="F20">
        <v>572.24</v>
      </c>
      <c r="G20">
        <v>6.43</v>
      </c>
      <c r="H20">
        <v>3.1509999999999998</v>
      </c>
      <c r="I20">
        <v>2.5710000000000002</v>
      </c>
      <c r="J20">
        <v>121</v>
      </c>
      <c r="K20">
        <v>1.36</v>
      </c>
      <c r="L20">
        <v>209.28800000000001</v>
      </c>
      <c r="M20">
        <v>2.3519999999999999</v>
      </c>
      <c r="N20">
        <v>1.73</v>
      </c>
      <c r="O20">
        <v>17</v>
      </c>
      <c r="P20">
        <v>0.191</v>
      </c>
      <c r="Q20">
        <v>182</v>
      </c>
      <c r="R20">
        <v>2.0449999999999999</v>
      </c>
      <c r="S20">
        <v>0.48799999999999999</v>
      </c>
    </row>
    <row r="21" spans="1:20" x14ac:dyDescent="0.25">
      <c r="A21" s="7">
        <v>20210409</v>
      </c>
      <c r="B21" t="s">
        <v>120</v>
      </c>
      <c r="C21">
        <v>278</v>
      </c>
      <c r="D21">
        <v>382.92500000000001</v>
      </c>
      <c r="E21">
        <v>1.377</v>
      </c>
      <c r="F21">
        <v>1979.5139999999999</v>
      </c>
      <c r="G21">
        <v>7.1210000000000004</v>
      </c>
      <c r="H21">
        <v>3.331</v>
      </c>
      <c r="I21">
        <v>3.0419999999999998</v>
      </c>
      <c r="J21">
        <v>387</v>
      </c>
      <c r="K21">
        <v>1.3919999999999999</v>
      </c>
      <c r="L21">
        <v>767.50300000000004</v>
      </c>
      <c r="M21">
        <v>2.7610000000000001</v>
      </c>
      <c r="N21">
        <v>1.9830000000000001</v>
      </c>
      <c r="O21">
        <v>55</v>
      </c>
      <c r="P21">
        <v>0.19800000000000001</v>
      </c>
      <c r="Q21">
        <v>573</v>
      </c>
      <c r="R21">
        <v>2.0609999999999999</v>
      </c>
      <c r="S21">
        <v>0.45600000000000002</v>
      </c>
    </row>
    <row r="22" spans="1:20" x14ac:dyDescent="0.25">
      <c r="A22" s="7">
        <v>20210409</v>
      </c>
      <c r="B22" t="s">
        <v>121</v>
      </c>
      <c r="C22">
        <v>98</v>
      </c>
      <c r="D22">
        <v>181.66499999999999</v>
      </c>
      <c r="E22">
        <v>1.8540000000000001</v>
      </c>
      <c r="F22">
        <v>884.93399999999997</v>
      </c>
      <c r="G22">
        <v>9.0299999999999994</v>
      </c>
      <c r="H22">
        <v>2.6760000000000002</v>
      </c>
      <c r="I22">
        <v>3.6309999999999998</v>
      </c>
      <c r="J22">
        <v>170</v>
      </c>
      <c r="K22">
        <v>1.7350000000000001</v>
      </c>
      <c r="L22">
        <v>365.66500000000002</v>
      </c>
      <c r="M22">
        <v>3.7309999999999999</v>
      </c>
      <c r="N22">
        <v>2.1509999999999998</v>
      </c>
      <c r="O22">
        <v>37</v>
      </c>
      <c r="P22">
        <v>0.378</v>
      </c>
      <c r="Q22">
        <v>211</v>
      </c>
      <c r="R22">
        <v>2.153</v>
      </c>
      <c r="S22">
        <v>0.47199999999999998</v>
      </c>
    </row>
    <row r="23" spans="1:20" s="38" customFormat="1" ht="15.75" thickBot="1" x14ac:dyDescent="0.3">
      <c r="A23" s="39"/>
    </row>
    <row r="24" spans="1:20" s="51" customFormat="1" ht="16.5" thickTop="1" x14ac:dyDescent="0.25">
      <c r="A24" s="50" t="s">
        <v>147</v>
      </c>
      <c r="M24" s="52"/>
      <c r="N24" s="52"/>
      <c r="P24" s="52"/>
      <c r="Q24" s="52"/>
      <c r="S24" s="52"/>
      <c r="T24" s="52"/>
    </row>
    <row r="25" spans="1:20" x14ac:dyDescent="0.25">
      <c r="A25" s="7">
        <v>20210409</v>
      </c>
      <c r="B25" t="s">
        <v>122</v>
      </c>
      <c r="C25">
        <v>71</v>
      </c>
      <c r="D25">
        <v>267.959</v>
      </c>
      <c r="E25">
        <v>3.774</v>
      </c>
      <c r="F25">
        <v>1180.075</v>
      </c>
      <c r="G25">
        <v>16.620999999999999</v>
      </c>
      <c r="H25">
        <v>3.452</v>
      </c>
      <c r="I25">
        <v>6.0119999999999996</v>
      </c>
      <c r="J25">
        <v>177</v>
      </c>
      <c r="K25">
        <v>2.4929999999999999</v>
      </c>
      <c r="L25">
        <v>542.26900000000001</v>
      </c>
      <c r="M25">
        <v>7.6379999999999999</v>
      </c>
      <c r="N25">
        <v>3.0640000000000001</v>
      </c>
      <c r="O25">
        <v>54</v>
      </c>
      <c r="P25">
        <v>0.76100000000000001</v>
      </c>
      <c r="Q25">
        <v>184</v>
      </c>
      <c r="R25">
        <v>2.5920000000000001</v>
      </c>
      <c r="S25">
        <v>0.501</v>
      </c>
    </row>
    <row r="26" spans="1:20" x14ac:dyDescent="0.25">
      <c r="A26" s="7">
        <v>20210409</v>
      </c>
      <c r="B26" t="s">
        <v>123</v>
      </c>
      <c r="C26">
        <v>89</v>
      </c>
      <c r="D26">
        <v>244.446</v>
      </c>
      <c r="E26">
        <v>2.7469999999999999</v>
      </c>
      <c r="F26">
        <v>1124.588</v>
      </c>
      <c r="G26">
        <v>12.635999999999999</v>
      </c>
      <c r="H26">
        <v>3.5430000000000001</v>
      </c>
      <c r="I26">
        <v>4.8010000000000002</v>
      </c>
      <c r="J26">
        <v>163</v>
      </c>
      <c r="K26">
        <v>1.831</v>
      </c>
      <c r="L26">
        <v>507.66399999999999</v>
      </c>
      <c r="M26">
        <v>5.7039999999999997</v>
      </c>
      <c r="N26">
        <v>3.1150000000000002</v>
      </c>
      <c r="O26">
        <v>38</v>
      </c>
      <c r="P26">
        <v>0.42699999999999999</v>
      </c>
      <c r="Q26">
        <v>201</v>
      </c>
      <c r="R26">
        <v>2.258</v>
      </c>
      <c r="S26">
        <v>0.48</v>
      </c>
    </row>
    <row r="27" spans="1:20" x14ac:dyDescent="0.25">
      <c r="A27" s="7">
        <v>20210409</v>
      </c>
      <c r="B27" t="s">
        <v>124</v>
      </c>
      <c r="C27">
        <v>47</v>
      </c>
      <c r="D27">
        <v>153.161</v>
      </c>
      <c r="E27">
        <v>3.2589999999999999</v>
      </c>
      <c r="F27">
        <v>713.06</v>
      </c>
      <c r="G27">
        <v>15.170999999999999</v>
      </c>
      <c r="H27">
        <v>3.2989999999999999</v>
      </c>
      <c r="I27">
        <v>5.7130000000000001</v>
      </c>
      <c r="J27">
        <v>126</v>
      </c>
      <c r="K27">
        <v>2.681</v>
      </c>
      <c r="L27">
        <v>320.495</v>
      </c>
      <c r="M27">
        <v>6.819</v>
      </c>
      <c r="N27">
        <v>2.544</v>
      </c>
      <c r="O27">
        <v>42</v>
      </c>
      <c r="P27">
        <v>0.89400000000000002</v>
      </c>
      <c r="Q27">
        <v>120</v>
      </c>
      <c r="R27">
        <v>2.5529999999999999</v>
      </c>
      <c r="S27">
        <v>0.48099999999999998</v>
      </c>
    </row>
    <row r="28" spans="1:20" x14ac:dyDescent="0.25">
      <c r="A28" s="7">
        <v>20210409</v>
      </c>
      <c r="B28" t="s">
        <v>125</v>
      </c>
      <c r="C28">
        <v>119</v>
      </c>
      <c r="D28">
        <v>255.27600000000001</v>
      </c>
      <c r="E28">
        <v>2.145</v>
      </c>
      <c r="F28">
        <v>1230.19</v>
      </c>
      <c r="G28">
        <v>10.337999999999999</v>
      </c>
      <c r="H28">
        <v>3.9140000000000001</v>
      </c>
      <c r="I28">
        <v>4.0460000000000003</v>
      </c>
      <c r="J28">
        <v>179</v>
      </c>
      <c r="K28">
        <v>1.504</v>
      </c>
      <c r="L28">
        <v>521.25900000000001</v>
      </c>
      <c r="M28">
        <v>4.38</v>
      </c>
      <c r="N28">
        <v>2.9119999999999999</v>
      </c>
      <c r="O28">
        <v>32</v>
      </c>
      <c r="P28">
        <v>0.26900000000000002</v>
      </c>
      <c r="Q28">
        <v>257</v>
      </c>
      <c r="R28">
        <v>2.16</v>
      </c>
      <c r="S28">
        <v>0.47899999999999998</v>
      </c>
    </row>
    <row r="29" spans="1:20" s="39" customFormat="1" ht="15.75" thickBot="1" x14ac:dyDescent="0.3">
      <c r="A29" s="40"/>
    </row>
    <row r="30" spans="1:20" s="48" customFormat="1" ht="16.5" thickTop="1" x14ac:dyDescent="0.25">
      <c r="A30" s="47" t="s">
        <v>146</v>
      </c>
      <c r="M30" s="49"/>
      <c r="N30" s="49"/>
      <c r="P30" s="49"/>
      <c r="Q30" s="49"/>
      <c r="S30" s="49"/>
      <c r="T30" s="49"/>
    </row>
    <row r="31" spans="1:20" x14ac:dyDescent="0.25">
      <c r="A31" s="46">
        <v>20220411</v>
      </c>
      <c r="B31" t="s">
        <v>192</v>
      </c>
      <c r="C31">
        <v>83</v>
      </c>
      <c r="D31">
        <v>327.661</v>
      </c>
      <c r="E31">
        <v>3.948</v>
      </c>
      <c r="F31">
        <v>1441.6130000000001</v>
      </c>
      <c r="G31">
        <v>17.369</v>
      </c>
      <c r="H31">
        <v>4.3730000000000002</v>
      </c>
      <c r="I31">
        <v>6.2590000000000003</v>
      </c>
      <c r="J31">
        <v>185</v>
      </c>
      <c r="K31">
        <v>2.2290000000000001</v>
      </c>
      <c r="L31">
        <v>698.49699999999996</v>
      </c>
      <c r="M31">
        <v>8.4160000000000004</v>
      </c>
      <c r="N31">
        <v>3.7759999999999998</v>
      </c>
      <c r="O31">
        <v>54</v>
      </c>
      <c r="P31">
        <v>0.65100000000000002</v>
      </c>
      <c r="Q31">
        <v>200</v>
      </c>
      <c r="R31">
        <v>2.41</v>
      </c>
      <c r="S31">
        <v>0.48199999999999998</v>
      </c>
    </row>
    <row r="32" spans="1:20" x14ac:dyDescent="0.25">
      <c r="A32" s="46">
        <v>20220411</v>
      </c>
      <c r="B32" t="s">
        <v>193</v>
      </c>
      <c r="C32">
        <v>92</v>
      </c>
      <c r="D32">
        <v>240.83699999999999</v>
      </c>
      <c r="E32">
        <v>2.6179999999999999</v>
      </c>
      <c r="F32">
        <v>1073.5060000000001</v>
      </c>
      <c r="G32">
        <v>11.669</v>
      </c>
      <c r="H32">
        <v>2.661</v>
      </c>
      <c r="I32">
        <v>4.2779999999999996</v>
      </c>
      <c r="J32">
        <v>212</v>
      </c>
      <c r="K32">
        <v>2.3039999999999998</v>
      </c>
      <c r="L32">
        <v>477.40600000000001</v>
      </c>
      <c r="M32">
        <v>5.1890000000000001</v>
      </c>
      <c r="N32">
        <v>2.2519999999999998</v>
      </c>
      <c r="O32">
        <v>61</v>
      </c>
      <c r="P32">
        <v>0.66300000000000003</v>
      </c>
      <c r="Q32">
        <v>228</v>
      </c>
      <c r="R32">
        <v>2.4780000000000002</v>
      </c>
      <c r="S32">
        <v>0.49399999999999999</v>
      </c>
    </row>
    <row r="33" spans="1:19" x14ac:dyDescent="0.25">
      <c r="A33" s="46">
        <v>20220411</v>
      </c>
      <c r="B33" t="s">
        <v>194</v>
      </c>
      <c r="C33">
        <v>141</v>
      </c>
      <c r="D33">
        <v>357.233</v>
      </c>
      <c r="E33">
        <v>2.5339999999999998</v>
      </c>
      <c r="F33">
        <v>1578.626</v>
      </c>
      <c r="G33">
        <v>11.196</v>
      </c>
      <c r="H33">
        <v>4.1459999999999999</v>
      </c>
      <c r="I33">
        <v>4.04</v>
      </c>
      <c r="J33">
        <v>255</v>
      </c>
      <c r="K33">
        <v>1.8089999999999999</v>
      </c>
      <c r="L33">
        <v>684.52200000000005</v>
      </c>
      <c r="M33">
        <v>4.8550000000000004</v>
      </c>
      <c r="N33">
        <v>2.6840000000000002</v>
      </c>
      <c r="O33">
        <v>60</v>
      </c>
      <c r="P33">
        <v>0.42599999999999999</v>
      </c>
      <c r="Q33">
        <v>318</v>
      </c>
      <c r="R33">
        <v>2.2549999999999999</v>
      </c>
      <c r="S33">
        <v>0.501</v>
      </c>
    </row>
    <row r="34" spans="1:19" x14ac:dyDescent="0.25">
      <c r="A34" s="46">
        <v>20220411</v>
      </c>
      <c r="B34" t="s">
        <v>195</v>
      </c>
      <c r="C34">
        <v>214</v>
      </c>
      <c r="D34">
        <v>402.74400000000003</v>
      </c>
      <c r="E34">
        <v>1.8819999999999999</v>
      </c>
      <c r="F34">
        <v>1938.7249999999999</v>
      </c>
      <c r="G34">
        <v>9.0589999999999993</v>
      </c>
      <c r="H34">
        <v>3.3319999999999999</v>
      </c>
      <c r="I34">
        <v>3.59</v>
      </c>
      <c r="J34">
        <v>408</v>
      </c>
      <c r="K34">
        <v>1.907</v>
      </c>
      <c r="L34">
        <v>819.55700000000002</v>
      </c>
      <c r="M34">
        <v>3.83</v>
      </c>
      <c r="N34">
        <v>2.0089999999999999</v>
      </c>
      <c r="O34">
        <v>99</v>
      </c>
      <c r="P34">
        <v>0.46300000000000002</v>
      </c>
      <c r="Q34">
        <v>499</v>
      </c>
      <c r="R34">
        <v>2.3319999999999999</v>
      </c>
      <c r="S34">
        <v>0.47599999999999998</v>
      </c>
    </row>
    <row r="35" spans="1:19" x14ac:dyDescent="0.25">
      <c r="A35" s="46">
        <v>20220411</v>
      </c>
      <c r="B35" t="s">
        <v>196</v>
      </c>
      <c r="C35">
        <v>153</v>
      </c>
      <c r="D35">
        <v>318.88799999999998</v>
      </c>
      <c r="E35">
        <v>2.0840000000000001</v>
      </c>
      <c r="F35">
        <v>1506.941</v>
      </c>
      <c r="G35">
        <v>9.8490000000000002</v>
      </c>
      <c r="H35">
        <v>3.3580000000000001</v>
      </c>
      <c r="I35">
        <v>3.8029999999999999</v>
      </c>
      <c r="J35">
        <v>269</v>
      </c>
      <c r="K35">
        <v>1.758</v>
      </c>
      <c r="L35">
        <v>628.37900000000002</v>
      </c>
      <c r="M35">
        <v>4.1070000000000002</v>
      </c>
      <c r="N35">
        <v>2.3359999999999999</v>
      </c>
      <c r="O35">
        <v>59</v>
      </c>
      <c r="P35">
        <v>0.38600000000000001</v>
      </c>
      <c r="Q35">
        <v>349</v>
      </c>
      <c r="R35">
        <v>2.2810000000000001</v>
      </c>
      <c r="S35">
        <v>0.48599999999999999</v>
      </c>
    </row>
    <row r="36" spans="1:19" x14ac:dyDescent="0.25">
      <c r="A36" s="46">
        <v>20220411</v>
      </c>
      <c r="B36" t="s">
        <v>197</v>
      </c>
      <c r="C36">
        <v>120</v>
      </c>
      <c r="D36">
        <v>352.73599999999999</v>
      </c>
      <c r="E36">
        <v>2.9390000000000001</v>
      </c>
      <c r="F36">
        <v>1664.8330000000001</v>
      </c>
      <c r="G36">
        <v>13.874000000000001</v>
      </c>
      <c r="H36">
        <v>3.3650000000000002</v>
      </c>
      <c r="I36">
        <v>5.3129999999999997</v>
      </c>
      <c r="J36">
        <v>249</v>
      </c>
      <c r="K36">
        <v>2.0750000000000002</v>
      </c>
      <c r="L36">
        <v>727.92399999999998</v>
      </c>
      <c r="M36">
        <v>6.0659999999999998</v>
      </c>
      <c r="N36">
        <v>2.923</v>
      </c>
      <c r="O36">
        <v>64</v>
      </c>
      <c r="P36">
        <v>0.53300000000000003</v>
      </c>
      <c r="Q36">
        <v>296</v>
      </c>
      <c r="R36">
        <v>2.4670000000000001</v>
      </c>
      <c r="S36">
        <v>0.48099999999999998</v>
      </c>
    </row>
    <row r="37" spans="1:19" x14ac:dyDescent="0.25">
      <c r="A37" s="46">
        <v>20220411</v>
      </c>
      <c r="B37" t="s">
        <v>198</v>
      </c>
      <c r="C37">
        <v>148</v>
      </c>
      <c r="D37">
        <v>434.99900000000002</v>
      </c>
      <c r="E37">
        <v>2.9390000000000001</v>
      </c>
      <c r="F37">
        <v>1804.4290000000001</v>
      </c>
      <c r="G37">
        <v>12.192</v>
      </c>
      <c r="H37">
        <v>2.589</v>
      </c>
      <c r="I37">
        <v>4.2270000000000003</v>
      </c>
      <c r="J37">
        <v>431</v>
      </c>
      <c r="K37">
        <v>2.9119999999999999</v>
      </c>
      <c r="L37">
        <v>879.59900000000005</v>
      </c>
      <c r="M37">
        <v>5.9429999999999996</v>
      </c>
      <c r="N37">
        <v>2.0409999999999999</v>
      </c>
      <c r="O37">
        <v>154</v>
      </c>
      <c r="P37">
        <v>1.0409999999999999</v>
      </c>
      <c r="Q37">
        <v>385</v>
      </c>
      <c r="R37">
        <v>2.601</v>
      </c>
      <c r="S37">
        <v>0.49299999999999999</v>
      </c>
    </row>
    <row r="38" spans="1:19" x14ac:dyDescent="0.25">
      <c r="A38" s="46">
        <v>20220411</v>
      </c>
      <c r="B38" t="s">
        <v>199</v>
      </c>
      <c r="C38">
        <v>171</v>
      </c>
      <c r="D38">
        <v>307.87299999999999</v>
      </c>
      <c r="E38">
        <v>1.8</v>
      </c>
      <c r="F38">
        <v>1393.7180000000001</v>
      </c>
      <c r="G38">
        <v>8.15</v>
      </c>
      <c r="H38">
        <v>2.5470000000000002</v>
      </c>
      <c r="I38">
        <v>3.0990000000000002</v>
      </c>
      <c r="J38">
        <v>322</v>
      </c>
      <c r="K38">
        <v>1.883</v>
      </c>
      <c r="L38">
        <v>592.12</v>
      </c>
      <c r="M38">
        <v>3.4630000000000001</v>
      </c>
      <c r="N38">
        <v>1.839</v>
      </c>
      <c r="O38">
        <v>78</v>
      </c>
      <c r="P38">
        <v>0.45600000000000002</v>
      </c>
      <c r="Q38">
        <v>389</v>
      </c>
      <c r="R38">
        <v>2.2749999999999999</v>
      </c>
      <c r="S38">
        <v>0.48399999999999999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topLeftCell="H1" zoomScale="55" zoomScaleNormal="55" workbookViewId="0">
      <selection activeCell="C16" sqref="C16:S21"/>
    </sheetView>
  </sheetViews>
  <sheetFormatPr baseColWidth="10" defaultRowHeight="15" x14ac:dyDescent="0.25"/>
  <cols>
    <col min="1" max="1" width="18.85546875" customWidth="1"/>
    <col min="2" max="2" width="96.85546875" customWidth="1"/>
    <col min="6" max="6" width="15.85546875" customWidth="1"/>
    <col min="7" max="7" width="15.7109375" customWidth="1"/>
    <col min="8" max="8" width="18.28515625" customWidth="1"/>
    <col min="9" max="9" width="17.5703125" customWidth="1"/>
    <col min="11" max="11" width="16" customWidth="1"/>
    <col min="12" max="12" width="19.140625" customWidth="1"/>
    <col min="13" max="13" width="25.5703125" customWidth="1"/>
    <col min="14" max="14" width="20.7109375" customWidth="1"/>
    <col min="15" max="15" width="17.85546875" customWidth="1"/>
    <col min="16" max="16" width="21.85546875" customWidth="1"/>
    <col min="17" max="17" width="18.28515625" customWidth="1"/>
    <col min="18" max="18" width="24.140625" customWidth="1"/>
    <col min="19" max="19" width="23.7109375" customWidth="1"/>
  </cols>
  <sheetData>
    <row r="1" spans="1:20" x14ac:dyDescent="0.25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20" s="2" customFormat="1" x14ac:dyDescent="0.25">
      <c r="A2" s="1" t="s">
        <v>18</v>
      </c>
      <c r="B2" s="1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</row>
    <row r="3" spans="1:20" ht="15.75" x14ac:dyDescent="0.25">
      <c r="A3" s="10">
        <v>20211205</v>
      </c>
      <c r="B3" t="s">
        <v>101</v>
      </c>
      <c r="C3">
        <v>283</v>
      </c>
      <c r="D3">
        <v>485.87400000000002</v>
      </c>
      <c r="E3">
        <v>1.7170000000000001</v>
      </c>
      <c r="F3">
        <v>2314.0619999999999</v>
      </c>
      <c r="G3">
        <v>8.1769999999999996</v>
      </c>
      <c r="H3">
        <v>3.4409999999999998</v>
      </c>
      <c r="I3">
        <v>3.2509999999999999</v>
      </c>
      <c r="J3">
        <v>411</v>
      </c>
      <c r="K3">
        <v>1.452</v>
      </c>
      <c r="L3">
        <v>949.54399999999998</v>
      </c>
      <c r="M3" s="6">
        <v>3.355</v>
      </c>
      <c r="N3" s="6">
        <v>2.31</v>
      </c>
      <c r="O3" s="6">
        <v>68</v>
      </c>
      <c r="P3" s="6">
        <v>0.24</v>
      </c>
      <c r="Q3" s="6">
        <v>571</v>
      </c>
      <c r="R3" s="6">
        <v>2.0179999999999998</v>
      </c>
      <c r="S3" s="6">
        <v>0.48499999999999999</v>
      </c>
    </row>
    <row r="4" spans="1:20" x14ac:dyDescent="0.25">
      <c r="A4" s="10">
        <v>20211205</v>
      </c>
      <c r="B4" t="s">
        <v>102</v>
      </c>
      <c r="C4">
        <v>330</v>
      </c>
      <c r="D4">
        <v>594.75699999999995</v>
      </c>
      <c r="E4">
        <v>1.802</v>
      </c>
      <c r="F4">
        <v>2719.0749999999998</v>
      </c>
      <c r="G4">
        <v>8.24</v>
      </c>
      <c r="H4">
        <v>3.3959999999999999</v>
      </c>
      <c r="I4">
        <v>3.1509999999999998</v>
      </c>
      <c r="J4">
        <v>486</v>
      </c>
      <c r="K4">
        <v>1.4730000000000001</v>
      </c>
      <c r="L4">
        <v>1100.1759999999999</v>
      </c>
      <c r="M4">
        <v>3.3340000000000001</v>
      </c>
      <c r="N4">
        <v>2.2639999999999998</v>
      </c>
      <c r="O4">
        <v>80</v>
      </c>
      <c r="P4">
        <v>0.24199999999999999</v>
      </c>
      <c r="Q4">
        <v>687</v>
      </c>
      <c r="R4">
        <v>2.0819999999999999</v>
      </c>
      <c r="S4">
        <v>0.50600000000000001</v>
      </c>
    </row>
    <row r="5" spans="1:20" x14ac:dyDescent="0.25">
      <c r="A5" s="10">
        <v>20211205</v>
      </c>
      <c r="B5" s="4" t="s">
        <v>103</v>
      </c>
      <c r="C5">
        <v>225</v>
      </c>
      <c r="D5">
        <v>538.61</v>
      </c>
      <c r="E5">
        <v>2.3940000000000001</v>
      </c>
      <c r="F5">
        <v>2532.0889999999999</v>
      </c>
      <c r="G5">
        <v>11.254</v>
      </c>
      <c r="H5">
        <v>3.113</v>
      </c>
      <c r="I5">
        <v>4.375</v>
      </c>
      <c r="J5">
        <v>385</v>
      </c>
      <c r="K5">
        <v>1.7110000000000001</v>
      </c>
      <c r="L5">
        <v>1101.2449999999999</v>
      </c>
      <c r="M5">
        <v>4.8940000000000001</v>
      </c>
      <c r="N5">
        <v>2.86</v>
      </c>
      <c r="O5">
        <v>82</v>
      </c>
      <c r="P5">
        <v>0.36399999999999999</v>
      </c>
      <c r="Q5">
        <v>484</v>
      </c>
      <c r="R5">
        <v>2.1509999999999998</v>
      </c>
      <c r="S5">
        <v>0.48399999999999999</v>
      </c>
    </row>
    <row r="6" spans="1:20" x14ac:dyDescent="0.25">
      <c r="A6" s="10">
        <v>20211205</v>
      </c>
      <c r="B6" t="s">
        <v>104</v>
      </c>
      <c r="C6">
        <v>442</v>
      </c>
      <c r="D6">
        <v>739.07500000000005</v>
      </c>
      <c r="E6">
        <v>1.6719999999999999</v>
      </c>
      <c r="F6">
        <v>3753.913</v>
      </c>
      <c r="G6">
        <v>8.4930000000000003</v>
      </c>
      <c r="H6">
        <v>2.9620000000000002</v>
      </c>
      <c r="I6">
        <v>3.56</v>
      </c>
      <c r="J6">
        <v>737</v>
      </c>
      <c r="K6">
        <v>1.667</v>
      </c>
      <c r="L6">
        <v>1568.239</v>
      </c>
      <c r="M6">
        <v>3.548</v>
      </c>
      <c r="N6">
        <v>2.1280000000000001</v>
      </c>
      <c r="O6">
        <v>152</v>
      </c>
      <c r="P6">
        <v>0.34399999999999997</v>
      </c>
      <c r="Q6">
        <v>958</v>
      </c>
      <c r="R6">
        <v>2.1669999999999998</v>
      </c>
      <c r="S6">
        <v>0.45600000000000002</v>
      </c>
    </row>
    <row r="7" spans="1:20" x14ac:dyDescent="0.25">
      <c r="A7" s="10">
        <v>20211205</v>
      </c>
      <c r="B7" t="s">
        <v>105</v>
      </c>
      <c r="C7">
        <v>325</v>
      </c>
      <c r="D7">
        <v>433.27699999999999</v>
      </c>
      <c r="E7">
        <v>1.333</v>
      </c>
      <c r="F7">
        <v>2247.3890000000001</v>
      </c>
      <c r="G7">
        <v>6.915</v>
      </c>
      <c r="H7">
        <v>3.6619999999999999</v>
      </c>
      <c r="I7">
        <v>2.9780000000000002</v>
      </c>
      <c r="J7">
        <v>418</v>
      </c>
      <c r="K7">
        <v>1.286</v>
      </c>
      <c r="L7">
        <v>882.20100000000002</v>
      </c>
      <c r="M7">
        <v>2.714</v>
      </c>
      <c r="N7">
        <v>2.1110000000000002</v>
      </c>
      <c r="O7">
        <v>48</v>
      </c>
      <c r="P7">
        <v>0.14799999999999999</v>
      </c>
      <c r="Q7">
        <v>643</v>
      </c>
      <c r="R7">
        <v>1.978</v>
      </c>
      <c r="S7">
        <v>0.45700000000000002</v>
      </c>
    </row>
    <row r="8" spans="1:20" x14ac:dyDescent="0.25">
      <c r="A8" s="10">
        <v>20211205</v>
      </c>
      <c r="B8" t="s">
        <v>106</v>
      </c>
      <c r="C8">
        <v>84</v>
      </c>
      <c r="D8">
        <v>205.256</v>
      </c>
      <c r="E8">
        <v>2.444</v>
      </c>
      <c r="F8">
        <v>956.70600000000002</v>
      </c>
      <c r="G8">
        <v>11.388999999999999</v>
      </c>
      <c r="H8">
        <v>3.7949999999999999</v>
      </c>
      <c r="I8">
        <v>4.3680000000000003</v>
      </c>
      <c r="J8">
        <v>160</v>
      </c>
      <c r="K8">
        <v>1.905</v>
      </c>
      <c r="L8">
        <v>429.60300000000001</v>
      </c>
      <c r="M8">
        <v>5.1139999999999999</v>
      </c>
      <c r="N8">
        <v>2.6850000000000001</v>
      </c>
      <c r="O8">
        <v>40</v>
      </c>
      <c r="P8">
        <v>0.47599999999999998</v>
      </c>
      <c r="Q8">
        <v>189</v>
      </c>
      <c r="R8">
        <v>2.25</v>
      </c>
      <c r="S8">
        <v>0.48099999999999998</v>
      </c>
    </row>
    <row r="9" spans="1:20" s="53" customFormat="1" x14ac:dyDescent="0.25">
      <c r="A9" s="45">
        <v>20220411</v>
      </c>
      <c r="B9" s="53" t="s">
        <v>101</v>
      </c>
      <c r="C9" s="53">
        <v>315</v>
      </c>
      <c r="D9" s="53">
        <v>725.19600000000003</v>
      </c>
      <c r="E9" s="53">
        <v>2.302</v>
      </c>
      <c r="F9" s="53">
        <v>3443.6109999999999</v>
      </c>
      <c r="G9" s="53">
        <v>10.932</v>
      </c>
      <c r="H9" s="53">
        <v>3.4249999999999998</v>
      </c>
      <c r="I9" s="53">
        <v>4.2320000000000002</v>
      </c>
      <c r="J9" s="53">
        <v>559</v>
      </c>
      <c r="K9" s="53">
        <v>1.7749999999999999</v>
      </c>
      <c r="L9" s="53">
        <v>1458.6420000000001</v>
      </c>
      <c r="M9" s="53">
        <v>4.6310000000000002</v>
      </c>
      <c r="N9" s="53">
        <v>2.609</v>
      </c>
      <c r="O9" s="53">
        <v>126</v>
      </c>
      <c r="P9" s="53">
        <v>0.4</v>
      </c>
      <c r="Q9" s="53">
        <v>700</v>
      </c>
      <c r="R9" s="53">
        <v>2.222</v>
      </c>
      <c r="S9" s="53">
        <v>0.47399999999999998</v>
      </c>
    </row>
    <row r="10" spans="1:20" s="53" customFormat="1" x14ac:dyDescent="0.25">
      <c r="A10" s="45">
        <v>20220411</v>
      </c>
      <c r="B10" s="53" t="s">
        <v>103</v>
      </c>
      <c r="C10" s="53">
        <v>203</v>
      </c>
      <c r="D10" s="53">
        <v>417.21899999999999</v>
      </c>
      <c r="E10" s="53">
        <v>2.0550000000000002</v>
      </c>
      <c r="F10" s="53">
        <v>1904.124</v>
      </c>
      <c r="G10" s="53">
        <v>9.3800000000000008</v>
      </c>
      <c r="H10" s="53">
        <v>2.7</v>
      </c>
      <c r="I10" s="53">
        <v>3.524</v>
      </c>
      <c r="J10" s="53">
        <v>392</v>
      </c>
      <c r="K10" s="53">
        <v>1.931</v>
      </c>
      <c r="L10" s="53">
        <v>785.68499999999995</v>
      </c>
      <c r="M10" s="53">
        <v>3.87</v>
      </c>
      <c r="N10" s="53">
        <v>2.004</v>
      </c>
      <c r="O10" s="53">
        <v>96</v>
      </c>
      <c r="P10" s="53">
        <v>0.47299999999999998</v>
      </c>
      <c r="Q10" s="53">
        <v>467</v>
      </c>
      <c r="R10" s="53">
        <v>2.2999999999999998</v>
      </c>
      <c r="S10" s="53">
        <v>0.49399999999999999</v>
      </c>
    </row>
    <row r="11" spans="1:20" s="53" customFormat="1" x14ac:dyDescent="0.25">
      <c r="A11" s="45">
        <v>20220411</v>
      </c>
      <c r="B11" s="53" t="s">
        <v>183</v>
      </c>
      <c r="C11" s="53">
        <v>257</v>
      </c>
      <c r="D11" s="53">
        <v>439.55900000000003</v>
      </c>
      <c r="E11" s="53">
        <v>1.71</v>
      </c>
      <c r="F11" s="53">
        <v>2152.3890000000001</v>
      </c>
      <c r="G11" s="53">
        <v>8.375</v>
      </c>
      <c r="H11" s="53">
        <v>2.9319999999999999</v>
      </c>
      <c r="I11" s="53">
        <v>3.363</v>
      </c>
      <c r="J11" s="53">
        <v>428</v>
      </c>
      <c r="K11" s="53">
        <v>1.665</v>
      </c>
      <c r="L11" s="53">
        <v>861.49199999999996</v>
      </c>
      <c r="M11" s="53">
        <v>3.3519999999999999</v>
      </c>
      <c r="N11" s="53">
        <v>2.0129999999999999</v>
      </c>
      <c r="O11" s="53">
        <v>87</v>
      </c>
      <c r="P11" s="53">
        <v>0.33900000000000002</v>
      </c>
      <c r="Q11" s="53">
        <v>572</v>
      </c>
      <c r="R11" s="53">
        <v>2.226</v>
      </c>
      <c r="S11" s="53">
        <v>0.47099999999999997</v>
      </c>
    </row>
    <row r="12" spans="1:20" s="53" customFormat="1" x14ac:dyDescent="0.25">
      <c r="A12" s="45">
        <v>20220411</v>
      </c>
      <c r="B12" s="53" t="s">
        <v>104</v>
      </c>
      <c r="C12" s="53">
        <v>107</v>
      </c>
      <c r="D12" s="53">
        <v>404.63600000000002</v>
      </c>
      <c r="E12" s="53">
        <v>3.782</v>
      </c>
      <c r="F12" s="53">
        <v>1703.26</v>
      </c>
      <c r="G12" s="53">
        <v>15.917999999999999</v>
      </c>
      <c r="H12" s="53">
        <v>3.9319999999999999</v>
      </c>
      <c r="I12" s="53">
        <v>5.4850000000000003</v>
      </c>
      <c r="J12" s="53">
        <v>278</v>
      </c>
      <c r="K12" s="53">
        <v>2.5979999999999999</v>
      </c>
      <c r="L12" s="53">
        <v>821.09199999999998</v>
      </c>
      <c r="M12" s="53">
        <v>7.6740000000000004</v>
      </c>
      <c r="N12" s="53">
        <v>2.9540000000000002</v>
      </c>
      <c r="O12" s="53">
        <v>91</v>
      </c>
      <c r="P12" s="53">
        <v>0.85</v>
      </c>
      <c r="Q12" s="53">
        <v>269</v>
      </c>
      <c r="R12" s="53">
        <v>2.5139999999999998</v>
      </c>
      <c r="S12" s="53">
        <v>0.496</v>
      </c>
    </row>
    <row r="13" spans="1:20" s="53" customFormat="1" x14ac:dyDescent="0.25">
      <c r="A13" s="45">
        <v>20220411</v>
      </c>
      <c r="B13" s="53" t="s">
        <v>184</v>
      </c>
      <c r="C13" s="53">
        <v>140</v>
      </c>
      <c r="D13" s="53">
        <v>413.642</v>
      </c>
      <c r="E13" s="53">
        <v>2.9550000000000001</v>
      </c>
      <c r="F13" s="53">
        <v>1890.739</v>
      </c>
      <c r="G13" s="53">
        <v>13.505000000000001</v>
      </c>
      <c r="H13" s="53">
        <v>3.694</v>
      </c>
      <c r="I13" s="53">
        <v>5.0380000000000003</v>
      </c>
      <c r="J13" s="53">
        <v>334</v>
      </c>
      <c r="K13" s="53">
        <v>2.3860000000000001</v>
      </c>
      <c r="L13" s="53">
        <v>861.10400000000004</v>
      </c>
      <c r="M13" s="53">
        <v>6.1509999999999998</v>
      </c>
      <c r="N13" s="53">
        <v>2.5779999999999998</v>
      </c>
      <c r="O13" s="53">
        <v>102</v>
      </c>
      <c r="P13" s="53">
        <v>0.72899999999999998</v>
      </c>
      <c r="Q13" s="53">
        <v>350</v>
      </c>
      <c r="R13" s="53">
        <v>2.5</v>
      </c>
      <c r="S13" s="53">
        <v>0.48</v>
      </c>
    </row>
    <row r="14" spans="1:20" s="39" customFormat="1" ht="15.75" thickBot="1" x14ac:dyDescent="0.3">
      <c r="A14" s="40"/>
    </row>
    <row r="15" spans="1:20" s="51" customFormat="1" ht="16.5" thickTop="1" x14ac:dyDescent="0.25">
      <c r="A15" s="50" t="s">
        <v>147</v>
      </c>
      <c r="M15" s="52"/>
      <c r="N15" s="52"/>
      <c r="P15" s="52"/>
      <c r="Q15" s="52"/>
      <c r="S15" s="52"/>
      <c r="T15" s="52"/>
    </row>
    <row r="16" spans="1:20" x14ac:dyDescent="0.25">
      <c r="A16" s="10">
        <v>20211205</v>
      </c>
      <c r="B16" t="s">
        <v>107</v>
      </c>
      <c r="C16">
        <v>55</v>
      </c>
      <c r="D16">
        <v>202.94399999999999</v>
      </c>
      <c r="E16">
        <v>3.69</v>
      </c>
      <c r="F16">
        <v>885.57899999999995</v>
      </c>
      <c r="G16">
        <v>16.100999999999999</v>
      </c>
      <c r="H16">
        <v>2.8119999999999998</v>
      </c>
      <c r="I16">
        <v>5.7809999999999997</v>
      </c>
      <c r="J16">
        <v>175</v>
      </c>
      <c r="K16">
        <v>3.1819999999999999</v>
      </c>
      <c r="L16">
        <v>423.78199999999998</v>
      </c>
      <c r="M16">
        <v>7.7050000000000001</v>
      </c>
      <c r="N16">
        <v>2.4220000000000002</v>
      </c>
      <c r="O16">
        <v>62</v>
      </c>
      <c r="P16">
        <v>1.127</v>
      </c>
      <c r="Q16">
        <v>156</v>
      </c>
      <c r="R16">
        <v>2.8359999999999999</v>
      </c>
      <c r="S16">
        <v>0.48599999999999999</v>
      </c>
    </row>
    <row r="17" spans="1:20" x14ac:dyDescent="0.25">
      <c r="A17" s="10">
        <v>20211205</v>
      </c>
      <c r="B17" t="s">
        <v>108</v>
      </c>
      <c r="C17">
        <v>55</v>
      </c>
      <c r="D17">
        <v>132.607</v>
      </c>
      <c r="E17">
        <v>2.411</v>
      </c>
      <c r="F17">
        <v>608.471</v>
      </c>
      <c r="G17">
        <v>11.063000000000001</v>
      </c>
      <c r="H17">
        <v>4.2910000000000004</v>
      </c>
      <c r="I17">
        <v>4.17</v>
      </c>
      <c r="J17">
        <v>90</v>
      </c>
      <c r="K17">
        <v>1.6359999999999999</v>
      </c>
      <c r="L17">
        <v>260.358</v>
      </c>
      <c r="M17">
        <v>4.734</v>
      </c>
      <c r="N17">
        <v>2.8929999999999998</v>
      </c>
      <c r="O17">
        <v>18</v>
      </c>
      <c r="P17">
        <v>0.32700000000000001</v>
      </c>
      <c r="Q17">
        <v>119</v>
      </c>
      <c r="R17">
        <v>2.1640000000000001</v>
      </c>
      <c r="S17">
        <v>0.499</v>
      </c>
    </row>
    <row r="18" spans="1:20" x14ac:dyDescent="0.25">
      <c r="A18" s="10">
        <v>20211205</v>
      </c>
      <c r="B18" t="s">
        <v>109</v>
      </c>
      <c r="C18">
        <v>46</v>
      </c>
      <c r="D18">
        <v>167.833</v>
      </c>
      <c r="E18">
        <v>3.649</v>
      </c>
      <c r="F18">
        <v>664.63900000000001</v>
      </c>
      <c r="G18">
        <v>14.449</v>
      </c>
      <c r="H18">
        <v>3.2189999999999999</v>
      </c>
      <c r="I18">
        <v>4.8419999999999996</v>
      </c>
      <c r="J18">
        <v>109</v>
      </c>
      <c r="K18">
        <v>2.37</v>
      </c>
      <c r="L18">
        <v>344.947</v>
      </c>
      <c r="M18">
        <v>7.4989999999999997</v>
      </c>
      <c r="N18">
        <v>3.165</v>
      </c>
      <c r="O18">
        <v>34</v>
      </c>
      <c r="P18">
        <v>0.73899999999999999</v>
      </c>
      <c r="Q18">
        <v>106</v>
      </c>
      <c r="R18">
        <v>2.3039999999999998</v>
      </c>
      <c r="S18">
        <v>0.498</v>
      </c>
    </row>
    <row r="19" spans="1:20" x14ac:dyDescent="0.25">
      <c r="A19" s="10">
        <v>20211205</v>
      </c>
      <c r="B19" t="s">
        <v>110</v>
      </c>
      <c r="C19">
        <v>71</v>
      </c>
      <c r="D19">
        <v>113.791</v>
      </c>
      <c r="E19">
        <v>1.603</v>
      </c>
      <c r="F19">
        <v>541.61599999999999</v>
      </c>
      <c r="G19">
        <v>7.6280000000000001</v>
      </c>
      <c r="H19">
        <v>2.758</v>
      </c>
      <c r="I19">
        <v>3.0270000000000001</v>
      </c>
      <c r="J19">
        <v>126</v>
      </c>
      <c r="K19">
        <v>1.7749999999999999</v>
      </c>
      <c r="L19">
        <v>223.886</v>
      </c>
      <c r="M19">
        <v>3.153</v>
      </c>
      <c r="N19">
        <v>1.7769999999999999</v>
      </c>
      <c r="O19">
        <v>29</v>
      </c>
      <c r="P19">
        <v>0.40799999999999997</v>
      </c>
      <c r="Q19">
        <v>159</v>
      </c>
      <c r="R19">
        <v>2.2389999999999999</v>
      </c>
      <c r="S19">
        <v>0.48299999999999998</v>
      </c>
    </row>
    <row r="20" spans="1:20" x14ac:dyDescent="0.25">
      <c r="A20" s="10">
        <v>20211205</v>
      </c>
      <c r="B20" t="s">
        <v>111</v>
      </c>
      <c r="C20">
        <v>47</v>
      </c>
      <c r="D20">
        <v>200.95599999999999</v>
      </c>
      <c r="E20">
        <v>4.2759999999999998</v>
      </c>
      <c r="F20">
        <v>906.40499999999997</v>
      </c>
      <c r="G20">
        <v>19.285</v>
      </c>
      <c r="H20">
        <v>4.9950000000000001</v>
      </c>
      <c r="I20">
        <v>7.0380000000000003</v>
      </c>
      <c r="J20">
        <v>110</v>
      </c>
      <c r="K20">
        <v>2.34</v>
      </c>
      <c r="L20">
        <v>423.17</v>
      </c>
      <c r="M20">
        <v>9.0039999999999996</v>
      </c>
      <c r="N20">
        <v>3.847</v>
      </c>
      <c r="O20">
        <v>33</v>
      </c>
      <c r="P20">
        <v>0.70199999999999996</v>
      </c>
      <c r="Q20">
        <v>113</v>
      </c>
      <c r="R20">
        <v>2.4039999999999999</v>
      </c>
      <c r="S20">
        <v>0.49199999999999999</v>
      </c>
    </row>
    <row r="21" spans="1:20" x14ac:dyDescent="0.25">
      <c r="A21" s="10">
        <v>20211205</v>
      </c>
      <c r="B21" t="s">
        <v>112</v>
      </c>
      <c r="C21">
        <v>111</v>
      </c>
      <c r="D21">
        <v>251.291</v>
      </c>
      <c r="E21">
        <v>2.2639999999999998</v>
      </c>
      <c r="F21">
        <v>1176.001</v>
      </c>
      <c r="G21">
        <v>10.595000000000001</v>
      </c>
      <c r="H21">
        <v>2.6150000000000002</v>
      </c>
      <c r="I21">
        <v>4.056</v>
      </c>
      <c r="J21">
        <v>238</v>
      </c>
      <c r="K21">
        <v>2.1440000000000001</v>
      </c>
      <c r="L21">
        <v>497.88600000000002</v>
      </c>
      <c r="M21">
        <v>4.4850000000000003</v>
      </c>
      <c r="N21">
        <v>2.0920000000000001</v>
      </c>
      <c r="O21">
        <v>64</v>
      </c>
      <c r="P21">
        <v>0.57699999999999996</v>
      </c>
      <c r="Q21">
        <v>270</v>
      </c>
      <c r="R21">
        <v>2.4319999999999999</v>
      </c>
      <c r="S21">
        <v>0.48099999999999998</v>
      </c>
    </row>
    <row r="22" spans="1:20" s="39" customFormat="1" ht="15.75" thickBot="1" x14ac:dyDescent="0.3">
      <c r="A22" s="40"/>
    </row>
    <row r="23" spans="1:20" s="48" customFormat="1" ht="16.5" thickTop="1" x14ac:dyDescent="0.25">
      <c r="A23" s="47" t="s">
        <v>146</v>
      </c>
      <c r="M23" s="49"/>
      <c r="N23" s="49"/>
      <c r="P23" s="49"/>
      <c r="Q23" s="49"/>
      <c r="S23" s="49"/>
      <c r="T23" s="49"/>
    </row>
    <row r="24" spans="1:20" x14ac:dyDescent="0.25">
      <c r="A24" s="7">
        <v>20220411</v>
      </c>
      <c r="B24" t="s">
        <v>185</v>
      </c>
      <c r="C24">
        <v>150</v>
      </c>
      <c r="D24">
        <v>353.423</v>
      </c>
      <c r="E24">
        <v>2.3559999999999999</v>
      </c>
      <c r="F24">
        <v>1645.883</v>
      </c>
      <c r="G24">
        <v>10.973000000000001</v>
      </c>
      <c r="H24">
        <v>3.8759999999999999</v>
      </c>
      <c r="I24">
        <v>4.1870000000000003</v>
      </c>
      <c r="J24">
        <v>281</v>
      </c>
      <c r="K24">
        <v>1.873</v>
      </c>
      <c r="L24">
        <v>699.14200000000005</v>
      </c>
      <c r="M24">
        <v>4.6609999999999996</v>
      </c>
      <c r="N24">
        <v>2.488</v>
      </c>
      <c r="O24">
        <v>67</v>
      </c>
      <c r="P24">
        <v>0.44700000000000001</v>
      </c>
      <c r="Q24">
        <v>336</v>
      </c>
      <c r="R24">
        <v>2.2400000000000002</v>
      </c>
      <c r="S24">
        <v>0.48599999999999999</v>
      </c>
    </row>
    <row r="25" spans="1:20" x14ac:dyDescent="0.25">
      <c r="A25" s="7">
        <v>20220411</v>
      </c>
      <c r="B25" t="s">
        <v>186</v>
      </c>
      <c r="C25">
        <v>178</v>
      </c>
      <c r="D25">
        <v>494.20600000000002</v>
      </c>
      <c r="E25">
        <v>2.7759999999999998</v>
      </c>
      <c r="F25">
        <v>2202.2139999999999</v>
      </c>
      <c r="G25">
        <v>12.372</v>
      </c>
      <c r="H25">
        <v>3.7629999999999999</v>
      </c>
      <c r="I25">
        <v>4.54</v>
      </c>
      <c r="J25">
        <v>407</v>
      </c>
      <c r="K25">
        <v>2.2869999999999999</v>
      </c>
      <c r="L25">
        <v>987.00199999999995</v>
      </c>
      <c r="M25">
        <v>5.5449999999999999</v>
      </c>
      <c r="N25">
        <v>2.4249999999999998</v>
      </c>
      <c r="O25">
        <v>118</v>
      </c>
      <c r="P25">
        <v>0.66300000000000003</v>
      </c>
      <c r="Q25">
        <v>443</v>
      </c>
      <c r="R25">
        <v>2.4889999999999999</v>
      </c>
      <c r="S25">
        <v>0.48899999999999999</v>
      </c>
    </row>
    <row r="26" spans="1:20" x14ac:dyDescent="0.25">
      <c r="A26" s="7">
        <v>20220411</v>
      </c>
      <c r="B26" t="s">
        <v>187</v>
      </c>
      <c r="C26">
        <v>242</v>
      </c>
      <c r="D26">
        <v>472.94099999999997</v>
      </c>
      <c r="E26">
        <v>1.954</v>
      </c>
      <c r="F26">
        <v>2278.54</v>
      </c>
      <c r="G26">
        <v>9.4149999999999991</v>
      </c>
      <c r="H26">
        <v>4.1609999999999996</v>
      </c>
      <c r="I26">
        <v>3.7210000000000001</v>
      </c>
      <c r="J26">
        <v>380</v>
      </c>
      <c r="K26">
        <v>1.57</v>
      </c>
      <c r="L26">
        <v>944.64200000000005</v>
      </c>
      <c r="M26">
        <v>3.903</v>
      </c>
      <c r="N26">
        <v>2.4860000000000002</v>
      </c>
      <c r="O26">
        <v>70</v>
      </c>
      <c r="P26">
        <v>0.28899999999999998</v>
      </c>
      <c r="Q26">
        <v>522</v>
      </c>
      <c r="R26">
        <v>2.157</v>
      </c>
      <c r="S26">
        <v>0.48099999999999998</v>
      </c>
    </row>
    <row r="27" spans="1:20" x14ac:dyDescent="0.25">
      <c r="A27" s="7">
        <v>20220411</v>
      </c>
      <c r="B27" t="s">
        <v>188</v>
      </c>
      <c r="C27">
        <v>78</v>
      </c>
      <c r="D27">
        <v>222.22900000000001</v>
      </c>
      <c r="E27">
        <v>2.8490000000000002</v>
      </c>
      <c r="F27">
        <v>952.11</v>
      </c>
      <c r="G27">
        <v>12.207000000000001</v>
      </c>
      <c r="H27">
        <v>4.5679999999999996</v>
      </c>
      <c r="I27">
        <v>4.3109999999999999</v>
      </c>
      <c r="J27">
        <v>168</v>
      </c>
      <c r="K27">
        <v>2.1539999999999999</v>
      </c>
      <c r="L27">
        <v>437.06400000000002</v>
      </c>
      <c r="M27">
        <v>5.6029999999999998</v>
      </c>
      <c r="N27">
        <v>2.6019999999999999</v>
      </c>
      <c r="O27">
        <v>47</v>
      </c>
      <c r="P27">
        <v>0.60299999999999998</v>
      </c>
      <c r="Q27">
        <v>188</v>
      </c>
      <c r="R27">
        <v>2.41</v>
      </c>
      <c r="S27">
        <v>0.50700000000000001</v>
      </c>
    </row>
    <row r="28" spans="1:20" x14ac:dyDescent="0.25">
      <c r="A28" s="7">
        <v>20220411</v>
      </c>
      <c r="B28" t="s">
        <v>189</v>
      </c>
      <c r="C28">
        <v>228</v>
      </c>
      <c r="D28">
        <v>438.45699999999999</v>
      </c>
      <c r="E28">
        <v>1.923</v>
      </c>
      <c r="F28">
        <v>2077.982</v>
      </c>
      <c r="G28">
        <v>9.1140000000000008</v>
      </c>
      <c r="H28">
        <v>4.0129999999999999</v>
      </c>
      <c r="I28">
        <v>3.5630000000000002</v>
      </c>
      <c r="J28">
        <v>373</v>
      </c>
      <c r="K28">
        <v>1.6359999999999999</v>
      </c>
      <c r="L28">
        <v>882.04100000000005</v>
      </c>
      <c r="M28">
        <v>3.8690000000000002</v>
      </c>
      <c r="N28">
        <v>2.3650000000000002</v>
      </c>
      <c r="O28">
        <v>75</v>
      </c>
      <c r="P28">
        <v>0.32900000000000001</v>
      </c>
      <c r="Q28">
        <v>491</v>
      </c>
      <c r="R28">
        <v>2.1539999999999999</v>
      </c>
      <c r="S28">
        <v>0.48399999999999999</v>
      </c>
    </row>
    <row r="29" spans="1:20" x14ac:dyDescent="0.25">
      <c r="A29" s="7">
        <v>20220411</v>
      </c>
      <c r="B29" t="s">
        <v>190</v>
      </c>
      <c r="C29">
        <v>177</v>
      </c>
      <c r="D29">
        <v>446.81700000000001</v>
      </c>
      <c r="E29">
        <v>2.524</v>
      </c>
      <c r="F29">
        <v>2058.6109999999999</v>
      </c>
      <c r="G29">
        <v>11.631</v>
      </c>
      <c r="H29">
        <v>3.8069999999999999</v>
      </c>
      <c r="I29">
        <v>4.3979999999999997</v>
      </c>
      <c r="J29">
        <v>340</v>
      </c>
      <c r="K29">
        <v>1.921</v>
      </c>
      <c r="L29">
        <v>921.36800000000005</v>
      </c>
      <c r="M29">
        <v>5.2050000000000001</v>
      </c>
      <c r="N29">
        <v>2.71</v>
      </c>
      <c r="O29">
        <v>83</v>
      </c>
      <c r="P29">
        <v>0.46899999999999997</v>
      </c>
      <c r="Q29">
        <v>418</v>
      </c>
      <c r="R29">
        <v>2.3620000000000001</v>
      </c>
      <c r="S29">
        <v>0.48</v>
      </c>
    </row>
    <row r="30" spans="1:20" x14ac:dyDescent="0.25">
      <c r="A30" s="7">
        <v>20220411</v>
      </c>
      <c r="B30" t="s">
        <v>191</v>
      </c>
      <c r="C30">
        <v>252</v>
      </c>
      <c r="D30">
        <v>341.63099999999997</v>
      </c>
      <c r="E30">
        <v>1.3560000000000001</v>
      </c>
      <c r="F30">
        <v>1703.752</v>
      </c>
      <c r="G30">
        <v>6.7610000000000001</v>
      </c>
      <c r="H30">
        <v>3.12</v>
      </c>
      <c r="I30">
        <v>2.7909999999999999</v>
      </c>
      <c r="J30">
        <v>355</v>
      </c>
      <c r="K30">
        <v>1.409</v>
      </c>
      <c r="L30">
        <v>643.32100000000003</v>
      </c>
      <c r="M30">
        <v>2.5529999999999999</v>
      </c>
      <c r="N30">
        <v>1.8120000000000001</v>
      </c>
      <c r="O30">
        <v>52</v>
      </c>
      <c r="P30">
        <v>0.20599999999999999</v>
      </c>
      <c r="Q30">
        <v>522</v>
      </c>
      <c r="R30">
        <v>2.0710000000000002</v>
      </c>
      <c r="S30">
        <v>0.47599999999999998</v>
      </c>
    </row>
    <row r="31" spans="1:20" x14ac:dyDescent="0.25">
      <c r="A31" s="7"/>
    </row>
    <row r="32" spans="1:20" x14ac:dyDescent="0.25">
      <c r="A32" s="7"/>
    </row>
    <row r="33" spans="1:1" x14ac:dyDescent="0.25">
      <c r="A33" s="7"/>
    </row>
    <row r="34" spans="1:1" x14ac:dyDescent="0.25">
      <c r="A34" s="7"/>
    </row>
    <row r="35" spans="1:1" x14ac:dyDescent="0.25">
      <c r="A35" s="7"/>
    </row>
    <row r="36" spans="1:1" x14ac:dyDescent="0.25">
      <c r="A36" s="7"/>
    </row>
    <row r="37" spans="1:1" x14ac:dyDescent="0.25">
      <c r="A37" s="7"/>
    </row>
    <row r="38" spans="1:1" x14ac:dyDescent="0.25">
      <c r="A38" s="7"/>
    </row>
    <row r="39" spans="1:1" x14ac:dyDescent="0.25">
      <c r="A39" s="7"/>
    </row>
    <row r="40" spans="1:1" x14ac:dyDescent="0.25">
      <c r="A40" s="7"/>
    </row>
    <row r="41" spans="1:1" x14ac:dyDescent="0.25">
      <c r="A41" s="7"/>
    </row>
    <row r="42" spans="1:1" x14ac:dyDescent="0.25">
      <c r="A42" s="7"/>
    </row>
    <row r="43" spans="1:1" x14ac:dyDescent="0.25">
      <c r="A43" s="7"/>
    </row>
    <row r="44" spans="1:1" x14ac:dyDescent="0.25">
      <c r="A44" s="7"/>
    </row>
    <row r="45" spans="1:1" x14ac:dyDescent="0.25">
      <c r="A45" s="7"/>
    </row>
    <row r="46" spans="1:1" x14ac:dyDescent="0.25">
      <c r="A46" s="7"/>
    </row>
    <row r="47" spans="1:1" x14ac:dyDescent="0.25">
      <c r="A47" s="7"/>
    </row>
    <row r="48" spans="1:1" x14ac:dyDescent="0.25">
      <c r="A48" s="7"/>
    </row>
    <row r="49" spans="1:1" x14ac:dyDescent="0.25">
      <c r="A49" s="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topLeftCell="N1" zoomScale="85" zoomScaleNormal="85" workbookViewId="0">
      <selection activeCell="C15" sqref="C15:S19"/>
    </sheetView>
  </sheetViews>
  <sheetFormatPr baseColWidth="10" defaultRowHeight="15" x14ac:dyDescent="0.25"/>
  <cols>
    <col min="1" max="1" width="18.85546875" customWidth="1"/>
    <col min="2" max="2" width="96.85546875" customWidth="1"/>
    <col min="6" max="6" width="15.85546875" customWidth="1"/>
    <col min="7" max="7" width="15.7109375" customWidth="1"/>
    <col min="8" max="8" width="18.28515625" customWidth="1"/>
    <col min="9" max="9" width="17.5703125" customWidth="1"/>
    <col min="11" max="11" width="16" customWidth="1"/>
    <col min="12" max="12" width="19.140625" customWidth="1"/>
    <col min="13" max="13" width="25.5703125" customWidth="1"/>
    <col min="14" max="14" width="20.7109375" customWidth="1"/>
    <col min="15" max="15" width="17.85546875" customWidth="1"/>
    <col min="16" max="16" width="21.85546875" customWidth="1"/>
    <col min="17" max="17" width="18.28515625" customWidth="1"/>
    <col min="18" max="18" width="24.140625" customWidth="1"/>
    <col min="19" max="19" width="23.7109375" customWidth="1"/>
  </cols>
  <sheetData>
    <row r="1" spans="1:20" x14ac:dyDescent="0.25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20" s="2" customFormat="1" x14ac:dyDescent="0.25">
      <c r="A2" s="1" t="s">
        <v>18</v>
      </c>
      <c r="B2" s="1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</row>
    <row r="3" spans="1:20" ht="15.75" x14ac:dyDescent="0.25">
      <c r="A3" s="7">
        <v>20211205</v>
      </c>
      <c r="B3" t="s">
        <v>113</v>
      </c>
      <c r="C3">
        <v>473</v>
      </c>
      <c r="D3">
        <v>655.21799999999996</v>
      </c>
      <c r="E3">
        <v>1.385</v>
      </c>
      <c r="F3">
        <v>3225.8919999999998</v>
      </c>
      <c r="G3">
        <v>6.82</v>
      </c>
      <c r="H3">
        <v>2.7269999999999999</v>
      </c>
      <c r="I3">
        <v>2.8359999999999999</v>
      </c>
      <c r="J3">
        <v>676</v>
      </c>
      <c r="K3">
        <v>1.429</v>
      </c>
      <c r="L3">
        <v>1288.682</v>
      </c>
      <c r="M3" s="6">
        <v>2.7240000000000002</v>
      </c>
      <c r="N3" s="6">
        <v>1.9059999999999999</v>
      </c>
      <c r="O3" s="6">
        <v>104</v>
      </c>
      <c r="P3" s="6">
        <v>0.22</v>
      </c>
      <c r="Q3" s="6">
        <v>959</v>
      </c>
      <c r="R3" s="6">
        <v>2.0270000000000001</v>
      </c>
      <c r="S3" s="6">
        <v>0.47099999999999997</v>
      </c>
    </row>
    <row r="4" spans="1:20" x14ac:dyDescent="0.25">
      <c r="A4" s="7">
        <v>20211205</v>
      </c>
      <c r="B4" t="s">
        <v>114</v>
      </c>
      <c r="C4">
        <v>283</v>
      </c>
      <c r="D4">
        <v>417.93599999999998</v>
      </c>
      <c r="E4">
        <v>1.4770000000000001</v>
      </c>
      <c r="F4">
        <v>2048.058</v>
      </c>
      <c r="G4">
        <v>7.2370000000000001</v>
      </c>
      <c r="H4">
        <v>3.0870000000000002</v>
      </c>
      <c r="I4">
        <v>2.9729999999999999</v>
      </c>
      <c r="J4">
        <v>426</v>
      </c>
      <c r="K4">
        <v>1.5049999999999999</v>
      </c>
      <c r="L4">
        <v>834.72299999999996</v>
      </c>
      <c r="M4">
        <v>2.95</v>
      </c>
      <c r="N4">
        <v>1.9590000000000001</v>
      </c>
      <c r="O4">
        <v>74</v>
      </c>
      <c r="P4">
        <v>0.26100000000000001</v>
      </c>
      <c r="Q4">
        <v>592</v>
      </c>
      <c r="R4">
        <v>2.0920000000000001</v>
      </c>
      <c r="S4">
        <v>0.47099999999999997</v>
      </c>
    </row>
    <row r="5" spans="1:20" x14ac:dyDescent="0.25">
      <c r="A5" s="7">
        <v>20211205</v>
      </c>
      <c r="B5" s="4" t="s">
        <v>115</v>
      </c>
      <c r="C5">
        <v>314</v>
      </c>
      <c r="D5">
        <v>502.55700000000002</v>
      </c>
      <c r="E5">
        <v>1.6</v>
      </c>
      <c r="F5">
        <v>2473.2779999999998</v>
      </c>
      <c r="G5">
        <v>7.8769999999999998</v>
      </c>
      <c r="H5">
        <v>3.63</v>
      </c>
      <c r="I5">
        <v>3.218</v>
      </c>
      <c r="J5">
        <v>436</v>
      </c>
      <c r="K5">
        <v>1.389</v>
      </c>
      <c r="L5">
        <v>1008.886</v>
      </c>
      <c r="M5">
        <v>3.2130000000000001</v>
      </c>
      <c r="N5">
        <v>2.3140000000000001</v>
      </c>
      <c r="O5">
        <v>64</v>
      </c>
      <c r="P5">
        <v>0.20399999999999999</v>
      </c>
      <c r="Q5">
        <v>644</v>
      </c>
      <c r="R5">
        <v>2.0510000000000002</v>
      </c>
      <c r="S5">
        <v>0.47499999999999998</v>
      </c>
    </row>
    <row r="6" spans="1:20" x14ac:dyDescent="0.25">
      <c r="A6" s="7">
        <v>20211205</v>
      </c>
      <c r="B6" t="s">
        <v>116</v>
      </c>
      <c r="C6">
        <v>587</v>
      </c>
      <c r="D6">
        <v>430.952</v>
      </c>
      <c r="E6">
        <v>0.73399999999999999</v>
      </c>
      <c r="F6">
        <v>2465.4160000000002</v>
      </c>
      <c r="G6">
        <v>4.2</v>
      </c>
      <c r="H6">
        <v>2.7650000000000001</v>
      </c>
      <c r="I6">
        <v>2.0139999999999998</v>
      </c>
      <c r="J6">
        <v>646</v>
      </c>
      <c r="K6">
        <v>1.101</v>
      </c>
      <c r="L6">
        <v>800.90200000000004</v>
      </c>
      <c r="M6">
        <v>1.3640000000000001</v>
      </c>
      <c r="N6">
        <v>1.24</v>
      </c>
      <c r="O6">
        <v>30</v>
      </c>
      <c r="P6">
        <v>5.0999999999999997E-2</v>
      </c>
      <c r="Q6">
        <v>1111</v>
      </c>
      <c r="R6">
        <v>1.893</v>
      </c>
      <c r="S6">
        <v>0.434</v>
      </c>
    </row>
    <row r="7" spans="1:20" x14ac:dyDescent="0.25">
      <c r="A7" s="7">
        <v>20211205</v>
      </c>
      <c r="B7" t="s">
        <v>117</v>
      </c>
      <c r="C7">
        <v>306</v>
      </c>
      <c r="D7">
        <v>286.64699999999999</v>
      </c>
      <c r="E7">
        <v>0.93700000000000006</v>
      </c>
      <c r="F7">
        <v>1577.742</v>
      </c>
      <c r="G7">
        <v>5.1559999999999997</v>
      </c>
      <c r="H7">
        <v>2.996</v>
      </c>
      <c r="I7">
        <v>2.367</v>
      </c>
      <c r="J7">
        <v>358</v>
      </c>
      <c r="K7">
        <v>1.17</v>
      </c>
      <c r="L7">
        <v>561.49699999999996</v>
      </c>
      <c r="M7">
        <v>1.835</v>
      </c>
      <c r="N7">
        <v>1.5680000000000001</v>
      </c>
      <c r="O7">
        <v>27</v>
      </c>
      <c r="P7">
        <v>8.7999999999999995E-2</v>
      </c>
      <c r="Q7">
        <v>589</v>
      </c>
      <c r="R7">
        <v>1.925</v>
      </c>
      <c r="S7">
        <v>0.443</v>
      </c>
    </row>
    <row r="8" spans="1:20" s="53" customFormat="1" x14ac:dyDescent="0.25">
      <c r="A8" s="45">
        <v>20220411</v>
      </c>
      <c r="B8" s="53" t="s">
        <v>113</v>
      </c>
      <c r="C8" s="53">
        <v>230</v>
      </c>
      <c r="D8" s="53">
        <v>471.99599999999998</v>
      </c>
      <c r="E8" s="53">
        <v>2.052</v>
      </c>
      <c r="F8" s="53">
        <v>2233.8200000000002</v>
      </c>
      <c r="G8" s="53">
        <v>9.7119999999999997</v>
      </c>
      <c r="H8" s="53">
        <v>4.1609999999999996</v>
      </c>
      <c r="I8" s="53">
        <v>3.7519999999999998</v>
      </c>
      <c r="J8" s="53">
        <v>347</v>
      </c>
      <c r="K8" s="53">
        <v>1.5089999999999999</v>
      </c>
      <c r="L8" s="53">
        <v>915.43799999999999</v>
      </c>
      <c r="M8" s="53">
        <v>3.98</v>
      </c>
      <c r="N8" s="53">
        <v>2.6379999999999999</v>
      </c>
      <c r="O8" s="53">
        <v>59</v>
      </c>
      <c r="P8" s="53">
        <v>0.25700000000000001</v>
      </c>
      <c r="Q8" s="53">
        <v>494</v>
      </c>
      <c r="R8" s="53">
        <v>2.1480000000000001</v>
      </c>
      <c r="S8" s="53">
        <v>0.48699999999999999</v>
      </c>
    </row>
    <row r="9" spans="1:20" s="53" customFormat="1" x14ac:dyDescent="0.25">
      <c r="A9" s="45">
        <v>20220411</v>
      </c>
      <c r="B9" s="53" t="s">
        <v>177</v>
      </c>
      <c r="C9" s="53">
        <v>318</v>
      </c>
      <c r="D9" s="53">
        <v>585.34500000000003</v>
      </c>
      <c r="E9" s="53">
        <v>1.841</v>
      </c>
      <c r="F9" s="53">
        <v>2840.84</v>
      </c>
      <c r="G9" s="53">
        <v>8.9329999999999998</v>
      </c>
      <c r="H9" s="53">
        <v>3.7290000000000001</v>
      </c>
      <c r="I9" s="53">
        <v>3.5569999999999999</v>
      </c>
      <c r="J9" s="53">
        <v>535</v>
      </c>
      <c r="K9" s="53">
        <v>1.6819999999999999</v>
      </c>
      <c r="L9" s="53">
        <v>1162.6949999999999</v>
      </c>
      <c r="M9" s="53">
        <v>3.6560000000000001</v>
      </c>
      <c r="N9" s="53">
        <v>2.173</v>
      </c>
      <c r="O9" s="53">
        <v>111</v>
      </c>
      <c r="P9" s="53">
        <v>0.34899999999999998</v>
      </c>
      <c r="Q9" s="53">
        <v>707</v>
      </c>
      <c r="R9" s="53">
        <v>2.2229999999999999</v>
      </c>
      <c r="S9" s="53">
        <v>0.47899999999999998</v>
      </c>
    </row>
    <row r="10" spans="1:20" s="53" customFormat="1" x14ac:dyDescent="0.25">
      <c r="A10" s="45">
        <v>20220411</v>
      </c>
      <c r="B10" s="53" t="s">
        <v>114</v>
      </c>
      <c r="C10" s="53">
        <v>274</v>
      </c>
      <c r="D10" s="53">
        <v>595.10400000000004</v>
      </c>
      <c r="E10" s="53">
        <v>2.1720000000000002</v>
      </c>
      <c r="F10" s="53">
        <v>2747.6439999999998</v>
      </c>
      <c r="G10" s="53">
        <v>10.028</v>
      </c>
      <c r="H10" s="53">
        <v>3.08</v>
      </c>
      <c r="I10" s="53">
        <v>3.8079999999999998</v>
      </c>
      <c r="J10" s="53">
        <v>469</v>
      </c>
      <c r="K10" s="53">
        <v>1.712</v>
      </c>
      <c r="L10" s="53">
        <v>1158.7180000000001</v>
      </c>
      <c r="M10" s="53">
        <v>4.2290000000000001</v>
      </c>
      <c r="N10" s="53">
        <v>2.4710000000000001</v>
      </c>
      <c r="O10" s="53">
        <v>101</v>
      </c>
      <c r="P10" s="53">
        <v>0.36899999999999999</v>
      </c>
      <c r="Q10" s="53">
        <v>603</v>
      </c>
      <c r="R10" s="53">
        <v>2.2010000000000001</v>
      </c>
      <c r="S10" s="53">
        <v>0.48799999999999999</v>
      </c>
    </row>
    <row r="11" spans="1:20" s="53" customFormat="1" x14ac:dyDescent="0.25">
      <c r="A11" s="45">
        <v>20220411</v>
      </c>
      <c r="B11" s="53" t="s">
        <v>116</v>
      </c>
      <c r="C11" s="53">
        <v>138</v>
      </c>
      <c r="D11" s="53">
        <v>362.17</v>
      </c>
      <c r="E11" s="53">
        <v>2.6240000000000001</v>
      </c>
      <c r="F11" s="53">
        <v>1675.5070000000001</v>
      </c>
      <c r="G11" s="53">
        <v>12.141</v>
      </c>
      <c r="H11" s="53">
        <v>3.7210000000000001</v>
      </c>
      <c r="I11" s="53">
        <v>4.5730000000000004</v>
      </c>
      <c r="J11" s="53">
        <v>254</v>
      </c>
      <c r="K11" s="53">
        <v>1.841</v>
      </c>
      <c r="L11" s="53">
        <v>721.22799999999995</v>
      </c>
      <c r="M11" s="53">
        <v>5.226</v>
      </c>
      <c r="N11" s="53">
        <v>2.839</v>
      </c>
      <c r="O11" s="53">
        <v>59</v>
      </c>
      <c r="P11" s="53">
        <v>0.42799999999999999</v>
      </c>
      <c r="Q11" s="53">
        <v>318</v>
      </c>
      <c r="R11" s="53">
        <v>2.3039999999999998</v>
      </c>
      <c r="S11" s="53">
        <v>0.49099999999999999</v>
      </c>
    </row>
    <row r="12" spans="1:20" s="53" customFormat="1" x14ac:dyDescent="0.25">
      <c r="A12" s="45">
        <v>20220411</v>
      </c>
      <c r="B12" s="53" t="s">
        <v>117</v>
      </c>
      <c r="C12" s="53">
        <v>307</v>
      </c>
      <c r="D12" s="53">
        <v>638.54100000000005</v>
      </c>
      <c r="E12" s="53">
        <v>2.08</v>
      </c>
      <c r="F12" s="53">
        <v>2984.8139999999999</v>
      </c>
      <c r="G12" s="53">
        <v>9.7230000000000008</v>
      </c>
      <c r="H12" s="53">
        <v>3.1280000000000001</v>
      </c>
      <c r="I12" s="53">
        <v>3.7389999999999999</v>
      </c>
      <c r="J12" s="53">
        <v>596</v>
      </c>
      <c r="K12" s="53">
        <v>1.9410000000000001</v>
      </c>
      <c r="L12" s="53">
        <v>1261.585</v>
      </c>
      <c r="M12" s="53">
        <v>4.109</v>
      </c>
      <c r="N12" s="53">
        <v>2.117</v>
      </c>
      <c r="O12" s="53">
        <v>147</v>
      </c>
      <c r="P12" s="53">
        <v>0.47899999999999998</v>
      </c>
      <c r="Q12" s="53">
        <v>715</v>
      </c>
      <c r="R12" s="53">
        <v>2.3290000000000002</v>
      </c>
      <c r="S12" s="53">
        <v>0.48399999999999999</v>
      </c>
    </row>
    <row r="13" spans="1:20" s="39" customFormat="1" ht="15.75" thickBot="1" x14ac:dyDescent="0.3">
      <c r="A13" s="40"/>
    </row>
    <row r="14" spans="1:20" s="48" customFormat="1" ht="16.5" thickTop="1" x14ac:dyDescent="0.25">
      <c r="A14" s="47" t="s">
        <v>146</v>
      </c>
      <c r="M14" s="49"/>
      <c r="N14" s="49"/>
      <c r="P14" s="49"/>
      <c r="Q14" s="49"/>
      <c r="S14" s="49"/>
      <c r="T14" s="49"/>
    </row>
    <row r="15" spans="1:20" x14ac:dyDescent="0.25">
      <c r="A15" s="7">
        <v>20220411</v>
      </c>
      <c r="B15" t="s">
        <v>178</v>
      </c>
      <c r="C15">
        <v>230</v>
      </c>
      <c r="D15">
        <v>481.07900000000001</v>
      </c>
      <c r="E15">
        <v>2.0920000000000001</v>
      </c>
      <c r="F15">
        <v>2188.0700000000002</v>
      </c>
      <c r="G15">
        <v>9.5129999999999999</v>
      </c>
      <c r="H15">
        <v>3.621</v>
      </c>
      <c r="I15">
        <v>3.5529999999999999</v>
      </c>
      <c r="J15">
        <v>377</v>
      </c>
      <c r="K15">
        <v>1.639</v>
      </c>
      <c r="L15">
        <v>894.80499999999995</v>
      </c>
      <c r="M15">
        <v>3.89</v>
      </c>
      <c r="N15">
        <v>2.3730000000000002</v>
      </c>
      <c r="O15">
        <v>75</v>
      </c>
      <c r="P15">
        <v>0.32600000000000001</v>
      </c>
      <c r="Q15">
        <v>504</v>
      </c>
      <c r="R15">
        <v>2.1909999999999998</v>
      </c>
      <c r="S15">
        <v>0.5</v>
      </c>
    </row>
    <row r="16" spans="1:20" x14ac:dyDescent="0.25">
      <c r="A16" s="7">
        <v>20220411</v>
      </c>
      <c r="B16" t="s">
        <v>179</v>
      </c>
      <c r="C16">
        <v>258</v>
      </c>
      <c r="D16">
        <v>502.99299999999999</v>
      </c>
      <c r="E16">
        <v>1.95</v>
      </c>
      <c r="F16">
        <v>2326.4490000000001</v>
      </c>
      <c r="G16">
        <v>9.0169999999999995</v>
      </c>
      <c r="H16">
        <v>3.6909999999999998</v>
      </c>
      <c r="I16">
        <v>3.44</v>
      </c>
      <c r="J16">
        <v>378</v>
      </c>
      <c r="K16">
        <v>1.4650000000000001</v>
      </c>
      <c r="L16">
        <v>938.99300000000005</v>
      </c>
      <c r="M16">
        <v>3.64</v>
      </c>
      <c r="N16">
        <v>2.484</v>
      </c>
      <c r="O16">
        <v>61</v>
      </c>
      <c r="P16">
        <v>0.23599999999999999</v>
      </c>
      <c r="Q16">
        <v>542</v>
      </c>
      <c r="R16">
        <v>2.101</v>
      </c>
      <c r="S16">
        <v>0.497</v>
      </c>
    </row>
    <row r="17" spans="1:19" x14ac:dyDescent="0.25">
      <c r="A17" s="7">
        <v>20220411</v>
      </c>
      <c r="B17" t="s">
        <v>180</v>
      </c>
      <c r="C17">
        <v>285</v>
      </c>
      <c r="D17">
        <v>753.25099999999998</v>
      </c>
      <c r="E17">
        <v>2.6429999999999998</v>
      </c>
      <c r="F17">
        <v>3476.7429999999999</v>
      </c>
      <c r="G17">
        <v>12.199</v>
      </c>
      <c r="H17">
        <v>3.694</v>
      </c>
      <c r="I17">
        <v>4.609</v>
      </c>
      <c r="J17">
        <v>613</v>
      </c>
      <c r="K17">
        <v>2.1509999999999998</v>
      </c>
      <c r="L17">
        <v>1544.8209999999999</v>
      </c>
      <c r="M17">
        <v>5.42</v>
      </c>
      <c r="N17">
        <v>2.52</v>
      </c>
      <c r="O17">
        <v>170</v>
      </c>
      <c r="P17">
        <v>0.59599999999999997</v>
      </c>
      <c r="Q17">
        <v>685</v>
      </c>
      <c r="R17">
        <v>2.4039999999999999</v>
      </c>
      <c r="S17">
        <v>0.48199999999999998</v>
      </c>
    </row>
    <row r="18" spans="1:19" x14ac:dyDescent="0.25">
      <c r="A18" s="7">
        <v>20220411</v>
      </c>
      <c r="B18" t="s">
        <v>181</v>
      </c>
      <c r="C18">
        <v>272</v>
      </c>
      <c r="D18">
        <v>519.15200000000004</v>
      </c>
      <c r="E18">
        <v>1.909</v>
      </c>
      <c r="F18">
        <v>2416.1480000000001</v>
      </c>
      <c r="G18">
        <v>8.8829999999999991</v>
      </c>
      <c r="H18">
        <v>3.456</v>
      </c>
      <c r="I18">
        <v>3.4079999999999999</v>
      </c>
      <c r="J18">
        <v>460</v>
      </c>
      <c r="K18">
        <v>1.6910000000000001</v>
      </c>
      <c r="L18">
        <v>998.44399999999996</v>
      </c>
      <c r="M18">
        <v>3.6709999999999998</v>
      </c>
      <c r="N18">
        <v>2.1709999999999998</v>
      </c>
      <c r="O18">
        <v>97</v>
      </c>
      <c r="P18">
        <v>0.35699999999999998</v>
      </c>
      <c r="Q18">
        <v>604</v>
      </c>
      <c r="R18">
        <v>2.2210000000000001</v>
      </c>
      <c r="S18">
        <v>0.49199999999999999</v>
      </c>
    </row>
    <row r="19" spans="1:19" x14ac:dyDescent="0.25">
      <c r="A19" s="7">
        <v>20220411</v>
      </c>
      <c r="B19" t="s">
        <v>182</v>
      </c>
      <c r="C19">
        <v>171</v>
      </c>
      <c r="D19">
        <v>482.245</v>
      </c>
      <c r="E19">
        <v>2.82</v>
      </c>
      <c r="F19">
        <v>2141.5650000000001</v>
      </c>
      <c r="G19">
        <v>12.523999999999999</v>
      </c>
      <c r="H19">
        <v>3.71</v>
      </c>
      <c r="I19">
        <v>4.5309999999999997</v>
      </c>
      <c r="J19">
        <v>358</v>
      </c>
      <c r="K19">
        <v>2.0939999999999999</v>
      </c>
      <c r="L19">
        <v>935.97500000000002</v>
      </c>
      <c r="M19">
        <v>5.4740000000000002</v>
      </c>
      <c r="N19">
        <v>2.6139999999999999</v>
      </c>
      <c r="O19">
        <v>99</v>
      </c>
      <c r="P19">
        <v>0.57899999999999996</v>
      </c>
      <c r="Q19">
        <v>393</v>
      </c>
      <c r="R19">
        <v>2.298</v>
      </c>
      <c r="S19">
        <v>0.5</v>
      </c>
    </row>
    <row r="20" spans="1:19" x14ac:dyDescent="0.25">
      <c r="A20" s="7"/>
    </row>
    <row r="21" spans="1:19" x14ac:dyDescent="0.25">
      <c r="A21" s="7"/>
    </row>
    <row r="22" spans="1:19" x14ac:dyDescent="0.25">
      <c r="A22" s="7"/>
    </row>
    <row r="23" spans="1:19" x14ac:dyDescent="0.25">
      <c r="A23" s="7"/>
    </row>
    <row r="24" spans="1:19" x14ac:dyDescent="0.25">
      <c r="A24" s="7"/>
    </row>
    <row r="25" spans="1:19" x14ac:dyDescent="0.25">
      <c r="A25" s="7"/>
    </row>
    <row r="26" spans="1:19" x14ac:dyDescent="0.25">
      <c r="A26" s="7"/>
    </row>
    <row r="27" spans="1:19" x14ac:dyDescent="0.25">
      <c r="A27" s="7"/>
    </row>
    <row r="28" spans="1:19" x14ac:dyDescent="0.25">
      <c r="A28" s="7"/>
    </row>
    <row r="29" spans="1:19" x14ac:dyDescent="0.25">
      <c r="A29" s="7"/>
    </row>
    <row r="30" spans="1:19" x14ac:dyDescent="0.25">
      <c r="A30" s="7"/>
    </row>
    <row r="31" spans="1:19" x14ac:dyDescent="0.25">
      <c r="A31" s="7"/>
    </row>
    <row r="32" spans="1:19" x14ac:dyDescent="0.25">
      <c r="A32" s="7"/>
    </row>
    <row r="33" spans="1:1" x14ac:dyDescent="0.25">
      <c r="A33" s="7"/>
    </row>
    <row r="34" spans="1:1" x14ac:dyDescent="0.25">
      <c r="A34" s="7"/>
    </row>
    <row r="35" spans="1:1" x14ac:dyDescent="0.25">
      <c r="A35" s="7"/>
    </row>
    <row r="36" spans="1:1" x14ac:dyDescent="0.25">
      <c r="A36" s="7"/>
    </row>
    <row r="37" spans="1:1" x14ac:dyDescent="0.25">
      <c r="A37" s="7"/>
    </row>
    <row r="38" spans="1:1" x14ac:dyDescent="0.25">
      <c r="A38" s="7"/>
    </row>
    <row r="39" spans="1:1" x14ac:dyDescent="0.25">
      <c r="A39" s="7"/>
    </row>
    <row r="40" spans="1:1" x14ac:dyDescent="0.25">
      <c r="A40" s="7"/>
    </row>
    <row r="41" spans="1:1" x14ac:dyDescent="0.25">
      <c r="A41" s="7"/>
    </row>
    <row r="42" spans="1:1" x14ac:dyDescent="0.25">
      <c r="A42" s="7"/>
    </row>
    <row r="43" spans="1:1" x14ac:dyDescent="0.25">
      <c r="A43" s="7"/>
    </row>
    <row r="44" spans="1:1" x14ac:dyDescent="0.25">
      <c r="A44" s="7"/>
    </row>
    <row r="45" spans="1:1" x14ac:dyDescent="0.25">
      <c r="A45" s="7"/>
    </row>
    <row r="46" spans="1:1" x14ac:dyDescent="0.25">
      <c r="A46" s="7"/>
    </row>
    <row r="47" spans="1:1" x14ac:dyDescent="0.25">
      <c r="A47" s="7"/>
    </row>
    <row r="48" spans="1:1" x14ac:dyDescent="0.25">
      <c r="A48" s="7"/>
    </row>
    <row r="49" spans="1:1" x14ac:dyDescent="0.25">
      <c r="A49" s="7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48"/>
  <sheetViews>
    <sheetView zoomScale="70" zoomScaleNormal="70" workbookViewId="0">
      <selection activeCell="B47" sqref="B47"/>
    </sheetView>
  </sheetViews>
  <sheetFormatPr baseColWidth="10" defaultRowHeight="15" x14ac:dyDescent="0.25"/>
  <cols>
    <col min="1" max="1" width="18.85546875" customWidth="1"/>
    <col min="2" max="2" width="96.85546875" customWidth="1"/>
    <col min="6" max="6" width="15.85546875" customWidth="1"/>
    <col min="7" max="7" width="15.7109375" customWidth="1"/>
    <col min="8" max="8" width="18.28515625" customWidth="1"/>
    <col min="9" max="9" width="17.5703125" customWidth="1"/>
    <col min="11" max="11" width="16" customWidth="1"/>
    <col min="12" max="12" width="19.140625" customWidth="1"/>
    <col min="13" max="13" width="25.5703125" customWidth="1"/>
    <col min="14" max="14" width="20.7109375" customWidth="1"/>
    <col min="15" max="15" width="17.85546875" customWidth="1"/>
    <col min="16" max="16" width="21.85546875" customWidth="1"/>
    <col min="17" max="17" width="18.28515625" customWidth="1"/>
    <col min="18" max="18" width="24.140625" customWidth="1"/>
    <col min="19" max="19" width="23.7109375" customWidth="1"/>
  </cols>
  <sheetData>
    <row r="1" spans="1:19" x14ac:dyDescent="0.25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2" customFormat="1" x14ac:dyDescent="0.25">
      <c r="A2" s="1" t="s">
        <v>18</v>
      </c>
      <c r="B2" s="1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</row>
    <row r="3" spans="1:19" x14ac:dyDescent="0.25">
      <c r="A3" s="7">
        <v>20210409</v>
      </c>
      <c r="B3" t="s">
        <v>127</v>
      </c>
      <c r="C3">
        <v>382</v>
      </c>
      <c r="D3">
        <v>995.45</v>
      </c>
      <c r="E3">
        <v>2.6059999999999999</v>
      </c>
      <c r="F3">
        <v>4702.6769999999997</v>
      </c>
      <c r="G3">
        <v>12.311</v>
      </c>
      <c r="H3">
        <v>3.613</v>
      </c>
      <c r="I3">
        <v>4.7869999999999999</v>
      </c>
      <c r="J3">
        <v>836</v>
      </c>
      <c r="K3">
        <v>2.1880000000000002</v>
      </c>
      <c r="L3">
        <v>2144.0940000000001</v>
      </c>
      <c r="M3">
        <v>5.6130000000000004</v>
      </c>
      <c r="N3">
        <v>2.5649999999999999</v>
      </c>
      <c r="O3">
        <v>236</v>
      </c>
      <c r="P3">
        <v>0.61799999999999999</v>
      </c>
      <c r="Q3">
        <v>921</v>
      </c>
      <c r="R3">
        <v>2.411</v>
      </c>
      <c r="S3">
        <v>0.47099999999999997</v>
      </c>
    </row>
    <row r="4" spans="1:19" x14ac:dyDescent="0.25">
      <c r="A4" s="7">
        <v>20210409</v>
      </c>
      <c r="B4" t="s">
        <v>128</v>
      </c>
      <c r="C4">
        <v>970</v>
      </c>
      <c r="D4">
        <v>1050.7860000000001</v>
      </c>
      <c r="E4">
        <v>1.083</v>
      </c>
      <c r="F4">
        <v>5660.058</v>
      </c>
      <c r="G4">
        <v>5.835</v>
      </c>
      <c r="H4">
        <v>3.0950000000000002</v>
      </c>
      <c r="I4">
        <v>2.61</v>
      </c>
      <c r="J4">
        <v>1224</v>
      </c>
      <c r="K4">
        <v>1.262</v>
      </c>
      <c r="L4">
        <v>2117.4899999999998</v>
      </c>
      <c r="M4">
        <v>2.1829999999999998</v>
      </c>
      <c r="N4">
        <v>1.73</v>
      </c>
      <c r="O4">
        <v>129</v>
      </c>
      <c r="P4">
        <v>0.13300000000000001</v>
      </c>
      <c r="Q4">
        <v>1956</v>
      </c>
      <c r="R4">
        <v>2.016</v>
      </c>
      <c r="S4">
        <v>0.44700000000000001</v>
      </c>
    </row>
    <row r="5" spans="1:19" x14ac:dyDescent="0.25">
      <c r="A5" s="7">
        <v>20210409</v>
      </c>
      <c r="B5" t="s">
        <v>129</v>
      </c>
      <c r="C5">
        <v>102</v>
      </c>
      <c r="D5">
        <v>345.17399999999998</v>
      </c>
      <c r="E5">
        <v>3.3839999999999999</v>
      </c>
      <c r="F5">
        <v>1596.47</v>
      </c>
      <c r="G5">
        <v>15.651999999999999</v>
      </c>
      <c r="H5">
        <v>3.5539999999999998</v>
      </c>
      <c r="I5">
        <v>6.0069999999999997</v>
      </c>
      <c r="J5">
        <v>278</v>
      </c>
      <c r="K5">
        <v>2.7250000000000001</v>
      </c>
      <c r="L5">
        <v>787.76700000000005</v>
      </c>
      <c r="M5">
        <v>7.7229999999999999</v>
      </c>
      <c r="N5">
        <v>2.8340000000000001</v>
      </c>
      <c r="O5">
        <v>92</v>
      </c>
      <c r="P5">
        <v>0.90200000000000002</v>
      </c>
      <c r="Q5">
        <v>265</v>
      </c>
      <c r="R5">
        <v>2.5979999999999999</v>
      </c>
      <c r="S5">
        <v>0.46400000000000002</v>
      </c>
    </row>
    <row r="6" spans="1:19" x14ac:dyDescent="0.25">
      <c r="A6" s="7">
        <v>20210409</v>
      </c>
      <c r="B6" t="s">
        <v>130</v>
      </c>
      <c r="C6">
        <v>285</v>
      </c>
      <c r="D6">
        <v>589.12800000000004</v>
      </c>
      <c r="E6">
        <v>2.0670000000000002</v>
      </c>
      <c r="F6">
        <v>3004.9470000000001</v>
      </c>
      <c r="G6">
        <v>10.544</v>
      </c>
      <c r="H6">
        <v>3.5169999999999999</v>
      </c>
      <c r="I6">
        <v>4.407</v>
      </c>
      <c r="J6">
        <v>531</v>
      </c>
      <c r="K6">
        <v>1.863</v>
      </c>
      <c r="L6">
        <v>1324.921</v>
      </c>
      <c r="M6">
        <v>4.649</v>
      </c>
      <c r="N6">
        <v>2.4950000000000001</v>
      </c>
      <c r="O6">
        <v>128</v>
      </c>
      <c r="P6">
        <v>0.44900000000000001</v>
      </c>
      <c r="Q6">
        <v>651</v>
      </c>
      <c r="R6">
        <v>2.2839999999999998</v>
      </c>
      <c r="S6">
        <v>0.44700000000000001</v>
      </c>
    </row>
    <row r="7" spans="1:19" ht="15.75" x14ac:dyDescent="0.25">
      <c r="A7" s="7">
        <v>20211123</v>
      </c>
      <c r="B7" t="s">
        <v>131</v>
      </c>
      <c r="C7">
        <v>92</v>
      </c>
      <c r="D7">
        <v>193.245</v>
      </c>
      <c r="E7">
        <v>2.1</v>
      </c>
      <c r="F7">
        <v>919.44299999999998</v>
      </c>
      <c r="G7">
        <v>9.9939999999999998</v>
      </c>
      <c r="H7">
        <v>2.9409999999999998</v>
      </c>
      <c r="I7">
        <v>3.927</v>
      </c>
      <c r="J7">
        <v>173</v>
      </c>
      <c r="K7">
        <v>1.88</v>
      </c>
      <c r="L7">
        <v>387.154</v>
      </c>
      <c r="M7" s="6">
        <v>4.2080000000000002</v>
      </c>
      <c r="N7" s="6">
        <v>2.238</v>
      </c>
      <c r="O7" s="6">
        <v>41</v>
      </c>
      <c r="P7" s="6">
        <v>0.44600000000000001</v>
      </c>
      <c r="Q7" s="6">
        <v>211</v>
      </c>
      <c r="R7" s="6">
        <v>2.2930000000000001</v>
      </c>
      <c r="S7" s="6">
        <v>0.48</v>
      </c>
    </row>
    <row r="8" spans="1:19" x14ac:dyDescent="0.25">
      <c r="A8" s="7">
        <v>20211123</v>
      </c>
      <c r="B8" t="s">
        <v>132</v>
      </c>
      <c r="C8">
        <v>238</v>
      </c>
      <c r="D8">
        <v>484.137</v>
      </c>
      <c r="E8">
        <v>2.0339999999999998</v>
      </c>
      <c r="F8">
        <v>2325.3989999999999</v>
      </c>
      <c r="G8">
        <v>9.7710000000000008</v>
      </c>
      <c r="H8">
        <v>3.49</v>
      </c>
      <c r="I8">
        <v>3.8769999999999998</v>
      </c>
      <c r="J8">
        <v>416</v>
      </c>
      <c r="K8">
        <v>1.748</v>
      </c>
      <c r="L8">
        <v>993.928</v>
      </c>
      <c r="M8">
        <v>4.1760000000000002</v>
      </c>
      <c r="N8">
        <v>2.3889999999999998</v>
      </c>
      <c r="O8">
        <v>92</v>
      </c>
      <c r="P8">
        <v>0.38700000000000001</v>
      </c>
      <c r="Q8">
        <v>518</v>
      </c>
      <c r="R8">
        <v>2.1760000000000002</v>
      </c>
      <c r="S8">
        <v>0.47699999999999998</v>
      </c>
    </row>
    <row r="9" spans="1:19" x14ac:dyDescent="0.25">
      <c r="A9" s="7">
        <v>20211123</v>
      </c>
      <c r="B9" s="44" t="s">
        <v>133</v>
      </c>
    </row>
    <row r="10" spans="1:19" x14ac:dyDescent="0.25">
      <c r="A10" s="7">
        <v>20211123</v>
      </c>
      <c r="B10" t="s">
        <v>134</v>
      </c>
      <c r="C10">
        <v>552</v>
      </c>
      <c r="D10">
        <v>890.18799999999999</v>
      </c>
      <c r="E10">
        <v>1.613</v>
      </c>
      <c r="F10">
        <v>4609.2039999999997</v>
      </c>
      <c r="G10">
        <v>8.35</v>
      </c>
      <c r="H10">
        <v>3.149</v>
      </c>
      <c r="I10">
        <v>3.5659999999999998</v>
      </c>
      <c r="J10">
        <v>864</v>
      </c>
      <c r="K10">
        <v>1.5649999999999999</v>
      </c>
      <c r="L10">
        <v>1901.1559999999999</v>
      </c>
      <c r="M10">
        <v>3.444</v>
      </c>
      <c r="N10">
        <v>2.2000000000000002</v>
      </c>
      <c r="O10">
        <v>157</v>
      </c>
      <c r="P10">
        <v>0.28399999999999997</v>
      </c>
      <c r="Q10">
        <v>1184</v>
      </c>
      <c r="R10">
        <v>2.145</v>
      </c>
      <c r="S10">
        <v>0.45100000000000001</v>
      </c>
    </row>
    <row r="11" spans="1:19" x14ac:dyDescent="0.25">
      <c r="A11" s="7">
        <v>20211123</v>
      </c>
      <c r="B11" t="s">
        <v>135</v>
      </c>
      <c r="C11">
        <v>552</v>
      </c>
      <c r="D11">
        <v>665.94100000000003</v>
      </c>
      <c r="E11">
        <v>1.206</v>
      </c>
      <c r="F11">
        <v>3541.6489999999999</v>
      </c>
      <c r="G11">
        <v>6.4160000000000004</v>
      </c>
      <c r="H11">
        <v>2.8069999999999999</v>
      </c>
      <c r="I11">
        <v>2.831</v>
      </c>
      <c r="J11">
        <v>804</v>
      </c>
      <c r="K11">
        <v>1.4570000000000001</v>
      </c>
      <c r="L11">
        <v>1356.5540000000001</v>
      </c>
      <c r="M11">
        <v>2.4580000000000002</v>
      </c>
      <c r="N11">
        <v>1.6870000000000001</v>
      </c>
      <c r="O11">
        <v>130</v>
      </c>
      <c r="P11">
        <v>0.23599999999999999</v>
      </c>
      <c r="Q11">
        <v>1151</v>
      </c>
      <c r="R11">
        <v>2.085</v>
      </c>
      <c r="S11">
        <v>0.44600000000000001</v>
      </c>
    </row>
    <row r="12" spans="1:19" x14ac:dyDescent="0.25">
      <c r="A12" s="7">
        <v>20211123</v>
      </c>
      <c r="B12" t="s">
        <v>136</v>
      </c>
      <c r="C12">
        <v>363</v>
      </c>
      <c r="D12">
        <v>549.06799999999998</v>
      </c>
      <c r="E12">
        <v>1.5129999999999999</v>
      </c>
      <c r="F12">
        <v>2838.8780000000002</v>
      </c>
      <c r="G12">
        <v>7.8209999999999997</v>
      </c>
      <c r="H12">
        <v>3.42</v>
      </c>
      <c r="I12">
        <v>3.367</v>
      </c>
      <c r="J12">
        <v>548</v>
      </c>
      <c r="K12">
        <v>1.51</v>
      </c>
      <c r="L12">
        <v>1181.4880000000001</v>
      </c>
      <c r="M12">
        <v>3.2549999999999999</v>
      </c>
      <c r="N12">
        <v>2.1560000000000001</v>
      </c>
      <c r="O12">
        <v>95</v>
      </c>
      <c r="P12">
        <v>0.26200000000000001</v>
      </c>
      <c r="Q12">
        <v>768</v>
      </c>
      <c r="R12">
        <v>2.1160000000000001</v>
      </c>
      <c r="S12">
        <v>0.44600000000000001</v>
      </c>
    </row>
    <row r="13" spans="1:19" s="53" customFormat="1" x14ac:dyDescent="0.25">
      <c r="A13" s="45">
        <v>20220411</v>
      </c>
      <c r="B13" s="53" t="s">
        <v>127</v>
      </c>
      <c r="C13" s="53">
        <v>76</v>
      </c>
      <c r="D13" s="53">
        <v>387.11599999999999</v>
      </c>
      <c r="E13" s="53">
        <v>5.0940000000000003</v>
      </c>
      <c r="F13" s="53">
        <v>1467.098</v>
      </c>
      <c r="G13" s="53">
        <v>19.303999999999998</v>
      </c>
      <c r="H13" s="53">
        <v>3.4609999999999999</v>
      </c>
      <c r="I13" s="53">
        <v>6.0960000000000001</v>
      </c>
      <c r="J13" s="53">
        <v>288</v>
      </c>
      <c r="K13" s="53">
        <v>3.7890000000000001</v>
      </c>
      <c r="L13" s="53">
        <v>797.88300000000004</v>
      </c>
      <c r="M13" s="53">
        <v>10.497999999999999</v>
      </c>
      <c r="N13" s="53">
        <v>2.77</v>
      </c>
      <c r="O13" s="53">
        <v>116</v>
      </c>
      <c r="P13" s="53">
        <v>1.526</v>
      </c>
      <c r="Q13" s="53">
        <v>218</v>
      </c>
      <c r="R13" s="53">
        <v>2.8679999999999999</v>
      </c>
      <c r="S13" s="53">
        <v>0.501</v>
      </c>
    </row>
    <row r="14" spans="1:19" s="53" customFormat="1" x14ac:dyDescent="0.25">
      <c r="A14" s="45">
        <v>20220411</v>
      </c>
      <c r="B14" s="53" t="s">
        <v>128</v>
      </c>
      <c r="C14" s="53">
        <v>205</v>
      </c>
      <c r="D14" s="53">
        <v>614.02300000000002</v>
      </c>
      <c r="E14" s="53">
        <v>2.9950000000000001</v>
      </c>
      <c r="F14" s="53">
        <v>2399.7359999999999</v>
      </c>
      <c r="G14" s="53">
        <v>11.706</v>
      </c>
      <c r="H14" s="53">
        <v>2.8769999999999998</v>
      </c>
      <c r="I14" s="53">
        <v>3.98</v>
      </c>
      <c r="J14" s="53">
        <v>518</v>
      </c>
      <c r="K14" s="53">
        <v>2.5270000000000001</v>
      </c>
      <c r="L14" s="53">
        <v>1279.5909999999999</v>
      </c>
      <c r="M14" s="53">
        <v>6.242</v>
      </c>
      <c r="N14" s="53">
        <v>2.4700000000000002</v>
      </c>
      <c r="O14" s="53">
        <v>164</v>
      </c>
      <c r="P14" s="53">
        <v>0.8</v>
      </c>
      <c r="Q14" s="53">
        <v>513</v>
      </c>
      <c r="R14" s="53">
        <v>2.5019999999999998</v>
      </c>
      <c r="S14" s="53">
        <v>0.48399999999999999</v>
      </c>
    </row>
    <row r="15" spans="1:19" s="53" customFormat="1" x14ac:dyDescent="0.25">
      <c r="A15" s="45">
        <v>20220411</v>
      </c>
      <c r="B15" s="53" t="s">
        <v>129</v>
      </c>
      <c r="C15" s="53">
        <v>134</v>
      </c>
      <c r="D15" s="53">
        <v>396.2</v>
      </c>
      <c r="E15" s="53">
        <v>2.9569999999999999</v>
      </c>
      <c r="F15" s="53">
        <v>1885.828</v>
      </c>
      <c r="G15" s="53">
        <v>14.073</v>
      </c>
      <c r="H15" s="53">
        <v>4.6029999999999998</v>
      </c>
      <c r="I15" s="53">
        <v>5.4379999999999997</v>
      </c>
      <c r="J15" s="53">
        <v>239</v>
      </c>
      <c r="K15" s="53">
        <v>1.784</v>
      </c>
      <c r="L15" s="53">
        <v>825.19399999999996</v>
      </c>
      <c r="M15" s="53">
        <v>6.1580000000000004</v>
      </c>
      <c r="N15" s="53">
        <v>3.4529999999999998</v>
      </c>
      <c r="O15" s="53">
        <v>53</v>
      </c>
      <c r="P15" s="53">
        <v>0.39600000000000002</v>
      </c>
      <c r="Q15" s="53">
        <v>302</v>
      </c>
      <c r="R15" s="53">
        <v>2.254</v>
      </c>
      <c r="S15" s="53">
        <v>0.47699999999999998</v>
      </c>
    </row>
    <row r="16" spans="1:19" s="53" customFormat="1" x14ac:dyDescent="0.25">
      <c r="A16" s="45">
        <v>20220411</v>
      </c>
      <c r="B16" s="53" t="s">
        <v>130</v>
      </c>
      <c r="C16" s="53">
        <v>130</v>
      </c>
      <c r="D16" s="53">
        <v>327.286</v>
      </c>
      <c r="E16" s="53">
        <v>2.5179999999999998</v>
      </c>
      <c r="F16" s="53">
        <v>1484.806</v>
      </c>
      <c r="G16" s="53">
        <v>11.422000000000001</v>
      </c>
      <c r="H16" s="53">
        <v>3.923</v>
      </c>
      <c r="I16" s="53">
        <v>4.2389999999999999</v>
      </c>
      <c r="J16" s="53">
        <v>251</v>
      </c>
      <c r="K16" s="53">
        <v>1.931</v>
      </c>
      <c r="L16" s="53">
        <v>645.60799999999995</v>
      </c>
      <c r="M16" s="53">
        <v>4.9660000000000002</v>
      </c>
      <c r="N16" s="53">
        <v>2.5720000000000001</v>
      </c>
      <c r="O16" s="53">
        <v>63</v>
      </c>
      <c r="P16" s="53">
        <v>0.48499999999999999</v>
      </c>
      <c r="Q16" s="53">
        <v>299</v>
      </c>
      <c r="R16" s="53">
        <v>2.2999999999999998</v>
      </c>
      <c r="S16" s="53">
        <v>0.49299999999999999</v>
      </c>
    </row>
    <row r="17" spans="1:20" s="39" customFormat="1" ht="15.75" thickBot="1" x14ac:dyDescent="0.3">
      <c r="A17" s="40"/>
    </row>
    <row r="18" spans="1:20" s="51" customFormat="1" ht="16.5" thickTop="1" x14ac:dyDescent="0.25">
      <c r="A18" s="50" t="s">
        <v>147</v>
      </c>
      <c r="M18" s="52"/>
      <c r="N18" s="52"/>
      <c r="P18" s="52"/>
      <c r="Q18" s="52"/>
      <c r="S18" s="52"/>
      <c r="T18" s="52"/>
    </row>
    <row r="19" spans="1:20" x14ac:dyDescent="0.25">
      <c r="A19" s="7">
        <v>20210409</v>
      </c>
      <c r="B19" t="s">
        <v>137</v>
      </c>
      <c r="C19">
        <v>285</v>
      </c>
      <c r="D19">
        <v>280.70699999999999</v>
      </c>
      <c r="E19">
        <v>0.98499999999999999</v>
      </c>
      <c r="F19">
        <v>1476.2059999999999</v>
      </c>
      <c r="G19">
        <v>5.18</v>
      </c>
      <c r="H19">
        <v>2.448</v>
      </c>
      <c r="I19">
        <v>2.2730000000000001</v>
      </c>
      <c r="J19">
        <v>374</v>
      </c>
      <c r="K19">
        <v>1.3120000000000001</v>
      </c>
      <c r="L19">
        <v>515.03700000000003</v>
      </c>
      <c r="M19">
        <v>1.8069999999999999</v>
      </c>
      <c r="N19">
        <v>1.377</v>
      </c>
      <c r="O19">
        <v>45</v>
      </c>
      <c r="P19">
        <v>0.158</v>
      </c>
      <c r="Q19">
        <v>564</v>
      </c>
      <c r="R19">
        <v>1.9790000000000001</v>
      </c>
      <c r="S19">
        <v>0.46100000000000002</v>
      </c>
    </row>
    <row r="20" spans="1:20" x14ac:dyDescent="0.25">
      <c r="A20" s="7">
        <v>20210409</v>
      </c>
      <c r="B20" t="s">
        <v>138</v>
      </c>
      <c r="C20">
        <v>159</v>
      </c>
      <c r="D20">
        <v>300.43200000000002</v>
      </c>
      <c r="E20">
        <v>1.89</v>
      </c>
      <c r="F20">
        <v>1395.9349999999999</v>
      </c>
      <c r="G20">
        <v>8.7789999999999999</v>
      </c>
      <c r="H20">
        <v>2.7709999999999999</v>
      </c>
      <c r="I20">
        <v>3.399</v>
      </c>
      <c r="J20">
        <v>298</v>
      </c>
      <c r="K20">
        <v>1.8740000000000001</v>
      </c>
      <c r="L20">
        <v>595.15300000000002</v>
      </c>
      <c r="M20">
        <v>3.7429999999999999</v>
      </c>
      <c r="N20">
        <v>1.9970000000000001</v>
      </c>
      <c r="O20">
        <v>73</v>
      </c>
      <c r="P20">
        <v>0.45900000000000002</v>
      </c>
      <c r="Q20">
        <v>362</v>
      </c>
      <c r="R20">
        <v>2.2770000000000001</v>
      </c>
      <c r="S20">
        <v>0.48099999999999998</v>
      </c>
    </row>
    <row r="21" spans="1:20" x14ac:dyDescent="0.25">
      <c r="A21" s="7">
        <v>20210409</v>
      </c>
      <c r="B21" t="s">
        <v>139</v>
      </c>
      <c r="C21">
        <v>278</v>
      </c>
      <c r="D21">
        <v>236.303</v>
      </c>
      <c r="E21">
        <v>0.85</v>
      </c>
      <c r="F21">
        <v>1313.9829999999999</v>
      </c>
      <c r="G21">
        <v>4.7270000000000003</v>
      </c>
      <c r="H21">
        <v>2.8940000000000001</v>
      </c>
      <c r="I21">
        <v>2.194</v>
      </c>
      <c r="J21">
        <v>333</v>
      </c>
      <c r="K21">
        <v>1.198</v>
      </c>
      <c r="L21">
        <v>456.54399999999998</v>
      </c>
      <c r="M21">
        <v>1.6419999999999999</v>
      </c>
      <c r="N21">
        <v>1.371</v>
      </c>
      <c r="O21">
        <v>28</v>
      </c>
      <c r="P21">
        <v>0.10100000000000001</v>
      </c>
      <c r="Q21">
        <v>541</v>
      </c>
      <c r="R21">
        <v>1.946</v>
      </c>
      <c r="S21">
        <v>0.443</v>
      </c>
    </row>
    <row r="22" spans="1:20" x14ac:dyDescent="0.25">
      <c r="A22" s="7">
        <v>20210409</v>
      </c>
      <c r="B22" t="s">
        <v>140</v>
      </c>
      <c r="C22">
        <v>266</v>
      </c>
      <c r="D22">
        <v>280.39499999999998</v>
      </c>
      <c r="E22">
        <v>1.054</v>
      </c>
      <c r="F22">
        <v>1543.3869999999999</v>
      </c>
      <c r="G22">
        <v>5.8019999999999996</v>
      </c>
      <c r="H22">
        <v>2.9329999999999998</v>
      </c>
      <c r="I22">
        <v>2.6269999999999998</v>
      </c>
      <c r="J22">
        <v>348</v>
      </c>
      <c r="K22">
        <v>1.3080000000000001</v>
      </c>
      <c r="L22">
        <v>577.11400000000003</v>
      </c>
      <c r="M22">
        <v>2.17</v>
      </c>
      <c r="N22">
        <v>1.6579999999999999</v>
      </c>
      <c r="O22">
        <v>42</v>
      </c>
      <c r="P22">
        <v>0.158</v>
      </c>
      <c r="Q22">
        <v>540</v>
      </c>
      <c r="R22">
        <v>2.0299999999999998</v>
      </c>
      <c r="S22">
        <v>0.438</v>
      </c>
    </row>
    <row r="23" spans="1:20" x14ac:dyDescent="0.25">
      <c r="A23" s="7">
        <v>20210409</v>
      </c>
      <c r="B23" t="s">
        <v>141</v>
      </c>
      <c r="C23">
        <v>149</v>
      </c>
      <c r="D23">
        <v>129.03899999999999</v>
      </c>
      <c r="E23">
        <v>0.86599999999999999</v>
      </c>
      <c r="F23">
        <v>707.78099999999995</v>
      </c>
      <c r="G23">
        <v>4.75</v>
      </c>
      <c r="H23">
        <v>2.621</v>
      </c>
      <c r="I23">
        <v>2.2000000000000002</v>
      </c>
      <c r="J23">
        <v>195</v>
      </c>
      <c r="K23">
        <v>1.3089999999999999</v>
      </c>
      <c r="L23">
        <v>238.822</v>
      </c>
      <c r="M23">
        <v>1.603</v>
      </c>
      <c r="N23">
        <v>1.2250000000000001</v>
      </c>
      <c r="O23">
        <v>23</v>
      </c>
      <c r="P23">
        <v>0.154</v>
      </c>
      <c r="Q23">
        <v>298</v>
      </c>
      <c r="R23">
        <v>2</v>
      </c>
      <c r="S23">
        <v>0.44500000000000001</v>
      </c>
    </row>
    <row r="24" spans="1:20" s="39" customFormat="1" ht="15.75" thickBot="1" x14ac:dyDescent="0.3">
      <c r="A24" s="40"/>
    </row>
    <row r="25" spans="1:20" s="51" customFormat="1" ht="16.5" thickTop="1" x14ac:dyDescent="0.25">
      <c r="A25" s="50" t="s">
        <v>147</v>
      </c>
      <c r="M25" s="52"/>
      <c r="N25" s="52"/>
      <c r="P25" s="52"/>
      <c r="Q25" s="52"/>
      <c r="S25" s="52"/>
      <c r="T25" s="52"/>
    </row>
    <row r="26" spans="1:20" x14ac:dyDescent="0.25">
      <c r="A26" s="7">
        <v>20210409</v>
      </c>
      <c r="B26" t="s">
        <v>142</v>
      </c>
      <c r="C26">
        <v>178</v>
      </c>
      <c r="D26">
        <v>308.55099999999999</v>
      </c>
      <c r="E26">
        <v>1.7330000000000001</v>
      </c>
      <c r="F26">
        <v>1551.982</v>
      </c>
      <c r="G26">
        <v>8.7189999999999994</v>
      </c>
      <c r="H26">
        <v>3.5630000000000002</v>
      </c>
      <c r="I26">
        <v>3.61</v>
      </c>
      <c r="J26">
        <v>275</v>
      </c>
      <c r="K26">
        <v>1.5449999999999999</v>
      </c>
      <c r="L26">
        <v>647.94799999999998</v>
      </c>
      <c r="M26">
        <v>3.64</v>
      </c>
      <c r="N26">
        <v>2.3559999999999999</v>
      </c>
      <c r="O26">
        <v>50</v>
      </c>
      <c r="P26">
        <v>0.28100000000000003</v>
      </c>
      <c r="Q26">
        <v>377</v>
      </c>
      <c r="R26">
        <v>2.1179999999999999</v>
      </c>
      <c r="S26">
        <v>0.45500000000000002</v>
      </c>
    </row>
    <row r="27" spans="1:20" x14ac:dyDescent="0.25">
      <c r="A27" s="7">
        <v>20210409</v>
      </c>
      <c r="B27" t="s">
        <v>143</v>
      </c>
      <c r="C27">
        <v>43</v>
      </c>
      <c r="D27">
        <v>143.148</v>
      </c>
      <c r="E27">
        <v>3.3290000000000002</v>
      </c>
      <c r="F27">
        <v>651.702</v>
      </c>
      <c r="G27">
        <v>15.156000000000001</v>
      </c>
      <c r="H27">
        <v>4.3410000000000002</v>
      </c>
      <c r="I27">
        <v>5.6379999999999999</v>
      </c>
      <c r="J27">
        <v>100</v>
      </c>
      <c r="K27">
        <v>2.3260000000000001</v>
      </c>
      <c r="L27">
        <v>290.93299999999999</v>
      </c>
      <c r="M27">
        <v>6.766</v>
      </c>
      <c r="N27">
        <v>2.9089999999999998</v>
      </c>
      <c r="O27">
        <v>29</v>
      </c>
      <c r="P27">
        <v>0.67400000000000004</v>
      </c>
      <c r="Q27">
        <v>112</v>
      </c>
      <c r="R27">
        <v>2.605</v>
      </c>
      <c r="S27">
        <v>0.49099999999999999</v>
      </c>
    </row>
    <row r="28" spans="1:20" x14ac:dyDescent="0.25">
      <c r="A28" s="7">
        <v>20210409</v>
      </c>
      <c r="B28" t="s">
        <v>144</v>
      </c>
      <c r="C28">
        <v>90</v>
      </c>
      <c r="D28">
        <v>197.33099999999999</v>
      </c>
      <c r="E28">
        <v>2.1930000000000001</v>
      </c>
      <c r="F28">
        <v>932.84400000000005</v>
      </c>
      <c r="G28">
        <v>10.365</v>
      </c>
      <c r="H28">
        <v>3.6110000000000002</v>
      </c>
      <c r="I28">
        <v>4.0289999999999999</v>
      </c>
      <c r="J28">
        <v>162</v>
      </c>
      <c r="K28">
        <v>1.8</v>
      </c>
      <c r="L28">
        <v>398.745</v>
      </c>
      <c r="M28">
        <v>4.431</v>
      </c>
      <c r="N28">
        <v>2.4609999999999999</v>
      </c>
      <c r="O28">
        <v>37</v>
      </c>
      <c r="P28">
        <v>0.41099999999999998</v>
      </c>
      <c r="Q28">
        <v>205</v>
      </c>
      <c r="R28">
        <v>2.278</v>
      </c>
      <c r="S28">
        <v>0.48399999999999999</v>
      </c>
    </row>
    <row r="29" spans="1:20" x14ac:dyDescent="0.25">
      <c r="A29" s="7">
        <v>20210409</v>
      </c>
      <c r="B29" t="s">
        <v>145</v>
      </c>
      <c r="C29">
        <v>72</v>
      </c>
      <c r="D29">
        <v>211.81800000000001</v>
      </c>
      <c r="E29">
        <v>2.9420000000000002</v>
      </c>
      <c r="F29">
        <v>1017.458</v>
      </c>
      <c r="G29">
        <v>14.131</v>
      </c>
      <c r="H29">
        <v>4.6669999999999998</v>
      </c>
      <c r="I29">
        <v>5.5140000000000002</v>
      </c>
      <c r="J29">
        <v>148</v>
      </c>
      <c r="K29">
        <v>2.056</v>
      </c>
      <c r="L29">
        <v>451.44299999999998</v>
      </c>
      <c r="M29">
        <v>6.27</v>
      </c>
      <c r="N29">
        <v>3.05</v>
      </c>
      <c r="O29">
        <v>38</v>
      </c>
      <c r="P29">
        <v>0.52800000000000002</v>
      </c>
      <c r="Q29">
        <v>172</v>
      </c>
      <c r="R29">
        <v>2.3889999999999998</v>
      </c>
      <c r="S29">
        <v>0.47599999999999998</v>
      </c>
    </row>
    <row r="30" spans="1:20" s="39" customFormat="1" ht="15.75" thickBot="1" x14ac:dyDescent="0.3">
      <c r="A30" s="40"/>
    </row>
    <row r="31" spans="1:20" s="48" customFormat="1" ht="16.5" thickTop="1" x14ac:dyDescent="0.25">
      <c r="A31" s="47" t="s">
        <v>146</v>
      </c>
      <c r="M31" s="49"/>
      <c r="N31" s="49"/>
      <c r="P31" s="49"/>
      <c r="Q31" s="49"/>
      <c r="S31" s="49"/>
      <c r="T31" s="49"/>
    </row>
    <row r="32" spans="1:20" x14ac:dyDescent="0.25">
      <c r="A32" s="7">
        <v>20220411</v>
      </c>
      <c r="B32" t="s">
        <v>148</v>
      </c>
      <c r="C32">
        <v>186</v>
      </c>
      <c r="D32">
        <v>367.19900000000001</v>
      </c>
      <c r="E32">
        <v>1.974</v>
      </c>
      <c r="F32">
        <v>1760.248</v>
      </c>
      <c r="G32">
        <v>9.4640000000000004</v>
      </c>
      <c r="H32">
        <v>3.3839999999999999</v>
      </c>
      <c r="I32">
        <v>3.7120000000000002</v>
      </c>
      <c r="J32">
        <v>311</v>
      </c>
      <c r="K32">
        <v>1.6719999999999999</v>
      </c>
      <c r="L32">
        <v>729.19200000000001</v>
      </c>
      <c r="M32">
        <v>3.92</v>
      </c>
      <c r="N32">
        <v>2.3450000000000002</v>
      </c>
      <c r="O32">
        <v>63</v>
      </c>
      <c r="P32">
        <v>0.33900000000000002</v>
      </c>
      <c r="Q32">
        <v>420</v>
      </c>
      <c r="R32">
        <v>2.258</v>
      </c>
      <c r="S32">
        <v>0.48</v>
      </c>
    </row>
    <row r="33" spans="1:19" x14ac:dyDescent="0.25">
      <c r="A33" s="7">
        <v>20220411</v>
      </c>
      <c r="B33" t="s">
        <v>149</v>
      </c>
      <c r="C33">
        <v>190</v>
      </c>
      <c r="D33">
        <v>345.726</v>
      </c>
      <c r="E33">
        <v>1.82</v>
      </c>
      <c r="F33">
        <v>1696.171</v>
      </c>
      <c r="G33">
        <v>8.9269999999999996</v>
      </c>
      <c r="H33">
        <v>3.2450000000000001</v>
      </c>
      <c r="I33">
        <v>3.5840000000000001</v>
      </c>
      <c r="J33">
        <v>333</v>
      </c>
      <c r="K33">
        <v>1.7529999999999999</v>
      </c>
      <c r="L33">
        <v>694.03399999999999</v>
      </c>
      <c r="M33">
        <v>3.653</v>
      </c>
      <c r="N33">
        <v>2.0840000000000001</v>
      </c>
      <c r="O33">
        <v>73</v>
      </c>
      <c r="P33">
        <v>0.38400000000000001</v>
      </c>
      <c r="Q33">
        <v>424</v>
      </c>
      <c r="R33">
        <v>2.2320000000000002</v>
      </c>
      <c r="S33">
        <v>0.47</v>
      </c>
    </row>
    <row r="34" spans="1:19" x14ac:dyDescent="0.25">
      <c r="A34" s="7">
        <v>20220411</v>
      </c>
      <c r="B34" t="s">
        <v>150</v>
      </c>
      <c r="C34">
        <v>100</v>
      </c>
      <c r="D34">
        <v>330.52499999999998</v>
      </c>
      <c r="E34">
        <v>3.3050000000000002</v>
      </c>
      <c r="F34">
        <v>1524.0609999999999</v>
      </c>
      <c r="G34">
        <v>15.241</v>
      </c>
      <c r="H34">
        <v>3.5920000000000001</v>
      </c>
      <c r="I34">
        <v>5.7160000000000002</v>
      </c>
      <c r="J34">
        <v>240</v>
      </c>
      <c r="K34">
        <v>2.4</v>
      </c>
      <c r="L34">
        <v>679.19799999999998</v>
      </c>
      <c r="M34">
        <v>6.7919999999999998</v>
      </c>
      <c r="N34">
        <v>2.83</v>
      </c>
      <c r="O34">
        <v>72</v>
      </c>
      <c r="P34">
        <v>0.72</v>
      </c>
      <c r="Q34">
        <v>247</v>
      </c>
      <c r="R34">
        <v>2.4700000000000002</v>
      </c>
      <c r="S34">
        <v>0.48499999999999999</v>
      </c>
    </row>
    <row r="35" spans="1:19" x14ac:dyDescent="0.25">
      <c r="A35" s="7">
        <v>20220411</v>
      </c>
      <c r="B35" t="s">
        <v>151</v>
      </c>
      <c r="C35">
        <v>174</v>
      </c>
      <c r="D35">
        <v>336.70699999999999</v>
      </c>
      <c r="E35">
        <v>1.9350000000000001</v>
      </c>
      <c r="F35">
        <v>1667.722</v>
      </c>
      <c r="G35">
        <v>9.5850000000000009</v>
      </c>
      <c r="H35">
        <v>3.4830000000000001</v>
      </c>
      <c r="I35">
        <v>3.875</v>
      </c>
      <c r="J35">
        <v>283</v>
      </c>
      <c r="K35">
        <v>1.6259999999999999</v>
      </c>
      <c r="L35">
        <v>698.072</v>
      </c>
      <c r="M35">
        <v>4.0119999999999996</v>
      </c>
      <c r="N35">
        <v>2.4670000000000001</v>
      </c>
      <c r="O35">
        <v>56</v>
      </c>
      <c r="P35">
        <v>0.32200000000000001</v>
      </c>
      <c r="Q35">
        <v>381</v>
      </c>
      <c r="R35">
        <v>2.19</v>
      </c>
      <c r="S35">
        <v>0.46700000000000003</v>
      </c>
    </row>
    <row r="36" spans="1:19" x14ac:dyDescent="0.25">
      <c r="A36" s="7">
        <v>20220411</v>
      </c>
      <c r="B36" t="s">
        <v>152</v>
      </c>
      <c r="C36">
        <v>141</v>
      </c>
      <c r="D36">
        <v>342.96600000000001</v>
      </c>
      <c r="E36">
        <v>2.4319999999999999</v>
      </c>
      <c r="F36">
        <v>1551.423</v>
      </c>
      <c r="G36">
        <v>11.003</v>
      </c>
      <c r="H36">
        <v>2.9169999999999998</v>
      </c>
      <c r="I36">
        <v>4.0970000000000004</v>
      </c>
      <c r="J36">
        <v>298</v>
      </c>
      <c r="K36">
        <v>2.113</v>
      </c>
      <c r="L36">
        <v>678.26499999999999</v>
      </c>
      <c r="M36">
        <v>4.8099999999999996</v>
      </c>
      <c r="N36">
        <v>2.2759999999999998</v>
      </c>
      <c r="O36">
        <v>81</v>
      </c>
      <c r="P36">
        <v>0.57399999999999995</v>
      </c>
      <c r="Q36">
        <v>339</v>
      </c>
      <c r="R36">
        <v>2.4039999999999999</v>
      </c>
      <c r="S36">
        <v>0.48699999999999999</v>
      </c>
    </row>
    <row r="37" spans="1:19" x14ac:dyDescent="0.25">
      <c r="A37" s="7"/>
    </row>
    <row r="38" spans="1:19" x14ac:dyDescent="0.25">
      <c r="A38" s="7"/>
    </row>
    <row r="39" spans="1:19" x14ac:dyDescent="0.25">
      <c r="A39" s="7"/>
    </row>
    <row r="40" spans="1:19" x14ac:dyDescent="0.25">
      <c r="A40" s="7"/>
    </row>
    <row r="41" spans="1:19" x14ac:dyDescent="0.25">
      <c r="A41" s="7"/>
    </row>
    <row r="42" spans="1:19" x14ac:dyDescent="0.25">
      <c r="A42" s="7"/>
    </row>
    <row r="43" spans="1:19" x14ac:dyDescent="0.25">
      <c r="A43" s="7"/>
    </row>
    <row r="44" spans="1:19" x14ac:dyDescent="0.25">
      <c r="A44" s="7"/>
    </row>
    <row r="45" spans="1:19" x14ac:dyDescent="0.25">
      <c r="A45" s="7"/>
    </row>
    <row r="46" spans="1:19" x14ac:dyDescent="0.25">
      <c r="A46" s="7"/>
    </row>
    <row r="47" spans="1:19" x14ac:dyDescent="0.25">
      <c r="A47" s="7"/>
    </row>
    <row r="48" spans="1:19" x14ac:dyDescent="0.25">
      <c r="A48" s="7"/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J1" zoomScale="70" zoomScaleNormal="70" workbookViewId="0">
      <selection activeCell="C16" sqref="C16:S20"/>
    </sheetView>
  </sheetViews>
  <sheetFormatPr baseColWidth="10" defaultRowHeight="15" x14ac:dyDescent="0.25"/>
  <cols>
    <col min="1" max="1" width="18.85546875" customWidth="1"/>
    <col min="2" max="2" width="96.85546875" customWidth="1"/>
    <col min="6" max="6" width="15.85546875" customWidth="1"/>
    <col min="7" max="7" width="15.7109375" customWidth="1"/>
    <col min="8" max="8" width="18.28515625" customWidth="1"/>
    <col min="9" max="9" width="17.5703125" customWidth="1"/>
    <col min="11" max="11" width="16" customWidth="1"/>
    <col min="12" max="12" width="19.140625" customWidth="1"/>
    <col min="13" max="13" width="25.5703125" customWidth="1"/>
    <col min="14" max="14" width="20.7109375" customWidth="1"/>
    <col min="15" max="15" width="17.85546875" customWidth="1"/>
    <col min="16" max="16" width="21.85546875" customWidth="1"/>
    <col min="17" max="17" width="18.28515625" customWidth="1"/>
    <col min="18" max="18" width="24.140625" customWidth="1"/>
    <col min="19" max="19" width="23.7109375" customWidth="1"/>
  </cols>
  <sheetData>
    <row r="1" spans="1:19" x14ac:dyDescent="0.25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2" customFormat="1" x14ac:dyDescent="0.25">
      <c r="A2" s="1" t="s">
        <v>18</v>
      </c>
      <c r="B2" s="1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</row>
    <row r="3" spans="1:19" ht="15.75" x14ac:dyDescent="0.25">
      <c r="A3" s="7">
        <v>20220411</v>
      </c>
      <c r="B3" t="s">
        <v>153</v>
      </c>
      <c r="C3">
        <v>231</v>
      </c>
      <c r="D3">
        <v>691.69600000000003</v>
      </c>
      <c r="E3">
        <v>2.9940000000000002</v>
      </c>
      <c r="F3">
        <v>3024.1019999999999</v>
      </c>
      <c r="G3">
        <v>13.090999999999999</v>
      </c>
      <c r="H3">
        <v>3.806</v>
      </c>
      <c r="I3">
        <v>4.6989999999999998</v>
      </c>
      <c r="J3">
        <v>446</v>
      </c>
      <c r="K3">
        <v>1.931</v>
      </c>
      <c r="L3">
        <v>1385.9179999999999</v>
      </c>
      <c r="M3" s="6">
        <v>6</v>
      </c>
      <c r="N3" s="6">
        <v>3.1070000000000002</v>
      </c>
      <c r="O3" s="6">
        <v>115</v>
      </c>
      <c r="P3" s="6">
        <v>0.498</v>
      </c>
      <c r="Q3" s="6">
        <v>523</v>
      </c>
      <c r="R3" s="6">
        <v>2.2639999999999998</v>
      </c>
      <c r="S3" s="6">
        <v>0.495</v>
      </c>
    </row>
    <row r="4" spans="1:19" x14ac:dyDescent="0.25">
      <c r="A4" s="7">
        <v>20220411</v>
      </c>
      <c r="B4" t="s">
        <v>154</v>
      </c>
      <c r="C4">
        <v>90</v>
      </c>
      <c r="D4">
        <v>206.13399999999999</v>
      </c>
      <c r="E4">
        <v>2.29</v>
      </c>
      <c r="F4">
        <v>905.69399999999996</v>
      </c>
      <c r="G4">
        <v>10.063000000000001</v>
      </c>
      <c r="H4">
        <v>4.1580000000000004</v>
      </c>
      <c r="I4">
        <v>3.66</v>
      </c>
      <c r="J4">
        <v>139</v>
      </c>
      <c r="K4">
        <v>1.544</v>
      </c>
      <c r="L4">
        <v>384.34800000000001</v>
      </c>
      <c r="M4">
        <v>4.2709999999999999</v>
      </c>
      <c r="N4">
        <v>2.7650000000000001</v>
      </c>
      <c r="O4">
        <v>26</v>
      </c>
      <c r="P4">
        <v>0.28899999999999998</v>
      </c>
      <c r="Q4">
        <v>184</v>
      </c>
      <c r="R4">
        <v>2.044</v>
      </c>
      <c r="S4">
        <v>0.51600000000000001</v>
      </c>
    </row>
    <row r="5" spans="1:19" x14ac:dyDescent="0.25">
      <c r="A5" s="7">
        <v>20220411</v>
      </c>
      <c r="B5" s="4" t="s">
        <v>155</v>
      </c>
      <c r="C5">
        <v>125</v>
      </c>
      <c r="D5">
        <v>229.11</v>
      </c>
      <c r="E5">
        <v>1.833</v>
      </c>
      <c r="F5">
        <v>1084.6569999999999</v>
      </c>
      <c r="G5">
        <v>8.6769999999999996</v>
      </c>
      <c r="H5">
        <v>2.96</v>
      </c>
      <c r="I5">
        <v>3.411</v>
      </c>
      <c r="J5">
        <v>231</v>
      </c>
      <c r="K5">
        <v>1.8480000000000001</v>
      </c>
      <c r="L5">
        <v>477.99599999999998</v>
      </c>
      <c r="M5">
        <v>3.8239999999999998</v>
      </c>
      <c r="N5">
        <v>2.069</v>
      </c>
      <c r="O5">
        <v>55</v>
      </c>
      <c r="P5">
        <v>0.44</v>
      </c>
      <c r="Q5">
        <v>282</v>
      </c>
      <c r="R5">
        <v>2.2559999999999998</v>
      </c>
      <c r="S5">
        <v>0.46100000000000002</v>
      </c>
    </row>
    <row r="6" spans="1:19" x14ac:dyDescent="0.25">
      <c r="A6" s="7">
        <v>20220411</v>
      </c>
      <c r="B6" t="s">
        <v>156</v>
      </c>
      <c r="C6">
        <v>161</v>
      </c>
      <c r="D6">
        <v>233.30799999999999</v>
      </c>
      <c r="E6">
        <v>1.4490000000000001</v>
      </c>
      <c r="F6">
        <v>1180.9880000000001</v>
      </c>
      <c r="G6">
        <v>7.335</v>
      </c>
      <c r="H6">
        <v>3.2480000000000002</v>
      </c>
      <c r="I6">
        <v>3.036</v>
      </c>
      <c r="J6">
        <v>228</v>
      </c>
      <c r="K6">
        <v>1.4159999999999999</v>
      </c>
      <c r="L6">
        <v>450.68099999999998</v>
      </c>
      <c r="M6">
        <v>2.7989999999999999</v>
      </c>
      <c r="N6">
        <v>1.9770000000000001</v>
      </c>
      <c r="O6">
        <v>34</v>
      </c>
      <c r="P6">
        <v>0.21099999999999999</v>
      </c>
      <c r="Q6">
        <v>335</v>
      </c>
      <c r="R6">
        <v>2.081</v>
      </c>
      <c r="S6">
        <v>0.46600000000000003</v>
      </c>
    </row>
    <row r="7" spans="1:19" x14ac:dyDescent="0.25">
      <c r="A7" s="7">
        <v>20220411</v>
      </c>
      <c r="B7" t="s">
        <v>157</v>
      </c>
      <c r="C7">
        <v>86</v>
      </c>
      <c r="D7">
        <v>166.45500000000001</v>
      </c>
      <c r="E7">
        <v>1.9359999999999999</v>
      </c>
      <c r="F7">
        <v>763.52800000000002</v>
      </c>
      <c r="G7">
        <v>8.8780000000000001</v>
      </c>
      <c r="H7">
        <v>3.2309999999999999</v>
      </c>
      <c r="I7">
        <v>3.34</v>
      </c>
      <c r="J7">
        <v>135</v>
      </c>
      <c r="K7">
        <v>1.57</v>
      </c>
      <c r="L7">
        <v>302.45400000000001</v>
      </c>
      <c r="M7">
        <v>3.5169999999999999</v>
      </c>
      <c r="N7">
        <v>2.2400000000000002</v>
      </c>
      <c r="O7">
        <v>24</v>
      </c>
      <c r="P7">
        <v>0.27900000000000003</v>
      </c>
      <c r="Q7">
        <v>184</v>
      </c>
      <c r="R7">
        <v>2.14</v>
      </c>
      <c r="S7">
        <v>0.501</v>
      </c>
    </row>
    <row r="8" spans="1:19" x14ac:dyDescent="0.25">
      <c r="A8" s="7">
        <v>20220411</v>
      </c>
      <c r="B8" t="s">
        <v>158</v>
      </c>
      <c r="C8">
        <v>144</v>
      </c>
      <c r="D8">
        <v>223.68</v>
      </c>
      <c r="E8">
        <v>1.5529999999999999</v>
      </c>
      <c r="F8">
        <v>1074.3969999999999</v>
      </c>
      <c r="G8">
        <v>7.4610000000000003</v>
      </c>
      <c r="H8">
        <v>2.8140000000000001</v>
      </c>
      <c r="I8">
        <v>2.9630000000000001</v>
      </c>
      <c r="J8">
        <v>253</v>
      </c>
      <c r="K8">
        <v>1.7569999999999999</v>
      </c>
      <c r="L8">
        <v>410.02100000000002</v>
      </c>
      <c r="M8">
        <v>2.847</v>
      </c>
      <c r="N8">
        <v>1.621</v>
      </c>
      <c r="O8">
        <v>55</v>
      </c>
      <c r="P8">
        <v>0.38200000000000001</v>
      </c>
      <c r="Q8">
        <v>322</v>
      </c>
      <c r="R8">
        <v>2.2360000000000002</v>
      </c>
      <c r="S8">
        <v>0.48299999999999998</v>
      </c>
    </row>
    <row r="9" spans="1:19" x14ac:dyDescent="0.25">
      <c r="A9" s="7">
        <v>20220411</v>
      </c>
      <c r="B9" t="s">
        <v>159</v>
      </c>
      <c r="C9">
        <v>196</v>
      </c>
      <c r="D9">
        <v>671.87</v>
      </c>
      <c r="E9">
        <v>3.4279999999999999</v>
      </c>
      <c r="F9">
        <v>2879.404</v>
      </c>
      <c r="G9">
        <v>14.691000000000001</v>
      </c>
      <c r="H9">
        <v>3.8359999999999999</v>
      </c>
      <c r="I9">
        <v>5.218</v>
      </c>
      <c r="J9">
        <v>485</v>
      </c>
      <c r="K9">
        <v>2.4740000000000002</v>
      </c>
      <c r="L9">
        <v>1393.674</v>
      </c>
      <c r="M9">
        <v>7.1109999999999998</v>
      </c>
      <c r="N9">
        <v>2.8740000000000001</v>
      </c>
      <c r="O9">
        <v>150</v>
      </c>
      <c r="P9">
        <v>0.76500000000000001</v>
      </c>
      <c r="Q9">
        <v>495</v>
      </c>
      <c r="R9">
        <v>2.5259999999999998</v>
      </c>
      <c r="S9">
        <v>0.49</v>
      </c>
    </row>
    <row r="10" spans="1:19" x14ac:dyDescent="0.25">
      <c r="A10" s="7">
        <v>20220411</v>
      </c>
      <c r="B10" t="s">
        <v>160</v>
      </c>
      <c r="C10">
        <v>69</v>
      </c>
      <c r="D10">
        <v>190.23400000000001</v>
      </c>
      <c r="E10">
        <v>2.7570000000000001</v>
      </c>
      <c r="F10">
        <v>793.95799999999997</v>
      </c>
      <c r="G10">
        <v>11.507</v>
      </c>
      <c r="H10">
        <v>3.0579999999999998</v>
      </c>
      <c r="I10">
        <v>4.0110000000000001</v>
      </c>
      <c r="J10">
        <v>147</v>
      </c>
      <c r="K10">
        <v>2.13</v>
      </c>
      <c r="L10">
        <v>365.07299999999998</v>
      </c>
      <c r="M10">
        <v>5.2910000000000004</v>
      </c>
      <c r="N10">
        <v>2.4830000000000001</v>
      </c>
      <c r="O10">
        <v>41</v>
      </c>
      <c r="P10">
        <v>0.59399999999999997</v>
      </c>
      <c r="Q10">
        <v>161</v>
      </c>
      <c r="R10">
        <v>2.3330000000000002</v>
      </c>
      <c r="S10">
        <v>0.5</v>
      </c>
    </row>
    <row r="11" spans="1:19" x14ac:dyDescent="0.25">
      <c r="A11" s="7">
        <v>20220411</v>
      </c>
      <c r="B11" t="s">
        <v>161</v>
      </c>
      <c r="C11">
        <v>111</v>
      </c>
      <c r="D11">
        <v>227.23099999999999</v>
      </c>
      <c r="E11">
        <v>2.0470000000000002</v>
      </c>
      <c r="F11">
        <v>1072.1980000000001</v>
      </c>
      <c r="G11">
        <v>9.6590000000000007</v>
      </c>
      <c r="H11">
        <v>2.552</v>
      </c>
      <c r="I11">
        <v>3.726</v>
      </c>
      <c r="J11">
        <v>237</v>
      </c>
      <c r="K11">
        <v>2.1349999999999998</v>
      </c>
      <c r="L11">
        <v>443.21</v>
      </c>
      <c r="M11">
        <v>3.9929999999999999</v>
      </c>
      <c r="N11">
        <v>1.87</v>
      </c>
      <c r="O11">
        <v>63</v>
      </c>
      <c r="P11">
        <v>0.56799999999999995</v>
      </c>
      <c r="Q11">
        <v>272</v>
      </c>
      <c r="R11">
        <v>2.4500000000000002</v>
      </c>
      <c r="S11">
        <v>0.48499999999999999</v>
      </c>
    </row>
    <row r="12" spans="1:19" x14ac:dyDescent="0.25">
      <c r="A12" s="7">
        <v>20220411</v>
      </c>
      <c r="B12" t="s">
        <v>162</v>
      </c>
      <c r="C12">
        <v>132</v>
      </c>
      <c r="D12">
        <v>258.24099999999999</v>
      </c>
      <c r="E12">
        <v>1.956</v>
      </c>
      <c r="F12">
        <v>1236.412</v>
      </c>
      <c r="G12">
        <v>9.3670000000000009</v>
      </c>
      <c r="H12">
        <v>3.3580000000000001</v>
      </c>
      <c r="I12">
        <v>3.6819999999999999</v>
      </c>
      <c r="J12">
        <v>211</v>
      </c>
      <c r="K12">
        <v>1.5980000000000001</v>
      </c>
      <c r="L12">
        <v>504.75099999999998</v>
      </c>
      <c r="M12">
        <v>3.8239999999999998</v>
      </c>
      <c r="N12">
        <v>2.3919999999999999</v>
      </c>
      <c r="O12">
        <v>39</v>
      </c>
      <c r="P12">
        <v>0.29499999999999998</v>
      </c>
      <c r="Q12">
        <v>295</v>
      </c>
      <c r="R12">
        <v>2.2349999999999999</v>
      </c>
      <c r="S12">
        <v>0.48299999999999998</v>
      </c>
    </row>
    <row r="13" spans="1:19" x14ac:dyDescent="0.25">
      <c r="A13" s="7">
        <v>20220411</v>
      </c>
      <c r="B13" t="s">
        <v>163</v>
      </c>
      <c r="C13">
        <v>99</v>
      </c>
      <c r="D13">
        <v>276.02100000000002</v>
      </c>
      <c r="E13">
        <v>2.7879999999999998</v>
      </c>
      <c r="F13">
        <v>1314.4110000000001</v>
      </c>
      <c r="G13">
        <v>13.276999999999999</v>
      </c>
      <c r="H13">
        <v>2.9630000000000001</v>
      </c>
      <c r="I13">
        <v>5.133</v>
      </c>
      <c r="J13">
        <v>238</v>
      </c>
      <c r="K13">
        <v>2.4039999999999999</v>
      </c>
      <c r="L13">
        <v>585.05700000000002</v>
      </c>
      <c r="M13">
        <v>5.91</v>
      </c>
      <c r="N13">
        <v>2.4580000000000002</v>
      </c>
      <c r="O13">
        <v>71</v>
      </c>
      <c r="P13">
        <v>0.71699999999999997</v>
      </c>
      <c r="Q13">
        <v>251</v>
      </c>
      <c r="R13">
        <v>2.5350000000000001</v>
      </c>
      <c r="S13">
        <v>0.47299999999999998</v>
      </c>
    </row>
    <row r="14" spans="1:19" s="39" customFormat="1" ht="15.75" thickBot="1" x14ac:dyDescent="0.3">
      <c r="A14" s="40"/>
    </row>
    <row r="15" spans="1:19" s="48" customFormat="1" ht="15.75" thickTop="1" x14ac:dyDescent="0.25">
      <c r="A15" s="47" t="s">
        <v>146</v>
      </c>
    </row>
    <row r="16" spans="1:19" x14ac:dyDescent="0.25">
      <c r="A16" s="7">
        <v>20220411</v>
      </c>
      <c r="B16" t="s">
        <v>164</v>
      </c>
      <c r="C16">
        <v>213</v>
      </c>
      <c r="D16">
        <v>399.596</v>
      </c>
      <c r="E16">
        <v>1.8759999999999999</v>
      </c>
      <c r="F16">
        <v>1899.816</v>
      </c>
      <c r="G16">
        <v>8.9190000000000005</v>
      </c>
      <c r="H16">
        <v>3.488</v>
      </c>
      <c r="I16">
        <v>3.4670000000000001</v>
      </c>
      <c r="J16">
        <v>345</v>
      </c>
      <c r="K16">
        <v>1.62</v>
      </c>
      <c r="L16">
        <v>782.26</v>
      </c>
      <c r="M16">
        <v>3.673</v>
      </c>
      <c r="N16">
        <v>2.2669999999999999</v>
      </c>
      <c r="O16">
        <v>67</v>
      </c>
      <c r="P16">
        <v>0.315</v>
      </c>
      <c r="Q16">
        <v>471</v>
      </c>
      <c r="R16">
        <v>2.2109999999999999</v>
      </c>
      <c r="S16">
        <v>0.48599999999999999</v>
      </c>
    </row>
    <row r="17" spans="1:19" x14ac:dyDescent="0.25">
      <c r="A17" s="7">
        <v>20220411</v>
      </c>
      <c r="B17" t="s">
        <v>165</v>
      </c>
      <c r="C17">
        <v>105</v>
      </c>
      <c r="D17">
        <v>364.95600000000002</v>
      </c>
      <c r="E17">
        <v>3.476</v>
      </c>
      <c r="F17">
        <v>1654.49</v>
      </c>
      <c r="G17">
        <v>15.757</v>
      </c>
      <c r="H17">
        <v>3.6720000000000002</v>
      </c>
      <c r="I17">
        <v>5.7939999999999996</v>
      </c>
      <c r="J17">
        <v>253</v>
      </c>
      <c r="K17">
        <v>2.41</v>
      </c>
      <c r="L17">
        <v>749.654</v>
      </c>
      <c r="M17">
        <v>7.14</v>
      </c>
      <c r="N17">
        <v>2.9630000000000001</v>
      </c>
      <c r="O17">
        <v>76</v>
      </c>
      <c r="P17">
        <v>0.72399999999999998</v>
      </c>
      <c r="Q17">
        <v>266</v>
      </c>
      <c r="R17">
        <v>2.5329999999999999</v>
      </c>
      <c r="S17">
        <v>0.48899999999999999</v>
      </c>
    </row>
    <row r="18" spans="1:19" x14ac:dyDescent="0.25">
      <c r="A18" s="7">
        <v>20220411</v>
      </c>
      <c r="B18" t="s">
        <v>166</v>
      </c>
      <c r="C18">
        <v>164</v>
      </c>
      <c r="D18">
        <v>392.23500000000001</v>
      </c>
      <c r="E18">
        <v>2.3919999999999999</v>
      </c>
      <c r="F18">
        <v>1732.6030000000001</v>
      </c>
      <c r="G18">
        <v>10.565</v>
      </c>
      <c r="H18">
        <v>3.044</v>
      </c>
      <c r="I18">
        <v>3.879</v>
      </c>
      <c r="J18">
        <v>333</v>
      </c>
      <c r="K18">
        <v>2.0299999999999998</v>
      </c>
      <c r="L18">
        <v>761.29600000000005</v>
      </c>
      <c r="M18">
        <v>4.6420000000000003</v>
      </c>
      <c r="N18">
        <v>2.286</v>
      </c>
      <c r="O18">
        <v>89</v>
      </c>
      <c r="P18">
        <v>0.54300000000000004</v>
      </c>
      <c r="Q18">
        <v>375</v>
      </c>
      <c r="R18">
        <v>2.2869999999999999</v>
      </c>
      <c r="S18">
        <v>0.496</v>
      </c>
    </row>
    <row r="19" spans="1:19" x14ac:dyDescent="0.25">
      <c r="A19" s="7">
        <v>20220411</v>
      </c>
      <c r="B19" t="s">
        <v>167</v>
      </c>
      <c r="C19">
        <v>114</v>
      </c>
      <c r="D19">
        <v>421.31400000000002</v>
      </c>
      <c r="E19">
        <v>3.6960000000000002</v>
      </c>
      <c r="F19">
        <v>1808.4159999999999</v>
      </c>
      <c r="G19">
        <v>15.863</v>
      </c>
      <c r="H19">
        <v>3.5270000000000001</v>
      </c>
      <c r="I19">
        <v>5.5990000000000002</v>
      </c>
      <c r="J19">
        <v>332</v>
      </c>
      <c r="K19">
        <v>2.9119999999999999</v>
      </c>
      <c r="L19">
        <v>876.05399999999997</v>
      </c>
      <c r="M19">
        <v>7.6849999999999996</v>
      </c>
      <c r="N19">
        <v>2.6389999999999998</v>
      </c>
      <c r="O19">
        <v>114</v>
      </c>
      <c r="P19">
        <v>1</v>
      </c>
      <c r="Q19">
        <v>305</v>
      </c>
      <c r="R19">
        <v>2.6749999999999998</v>
      </c>
      <c r="S19">
        <v>0.49</v>
      </c>
    </row>
    <row r="20" spans="1:19" x14ac:dyDescent="0.25">
      <c r="A20" s="7">
        <v>20220411</v>
      </c>
      <c r="B20" t="s">
        <v>168</v>
      </c>
      <c r="C20">
        <v>117</v>
      </c>
      <c r="D20">
        <v>331.57499999999999</v>
      </c>
      <c r="E20">
        <v>2.8340000000000001</v>
      </c>
      <c r="F20">
        <v>1385.432</v>
      </c>
      <c r="G20">
        <v>11.840999999999999</v>
      </c>
      <c r="H20">
        <v>2.335</v>
      </c>
      <c r="I20">
        <v>4.149</v>
      </c>
      <c r="J20">
        <v>310</v>
      </c>
      <c r="K20">
        <v>2.65</v>
      </c>
      <c r="L20">
        <v>649.36599999999999</v>
      </c>
      <c r="M20">
        <v>5.55</v>
      </c>
      <c r="N20">
        <v>2.0950000000000002</v>
      </c>
      <c r="O20">
        <v>102</v>
      </c>
      <c r="P20">
        <v>0.872</v>
      </c>
      <c r="Q20">
        <v>296</v>
      </c>
      <c r="R20">
        <v>2.5299999999999998</v>
      </c>
      <c r="S20">
        <v>0.497</v>
      </c>
    </row>
    <row r="21" spans="1:19" x14ac:dyDescent="0.25">
      <c r="A21" s="7"/>
    </row>
    <row r="22" spans="1:19" x14ac:dyDescent="0.25">
      <c r="A22" s="7"/>
    </row>
    <row r="23" spans="1:19" x14ac:dyDescent="0.25">
      <c r="A23" s="7"/>
    </row>
    <row r="24" spans="1:19" x14ac:dyDescent="0.25">
      <c r="A24" s="7"/>
    </row>
    <row r="25" spans="1:19" x14ac:dyDescent="0.25">
      <c r="A25" s="7"/>
    </row>
    <row r="26" spans="1:19" x14ac:dyDescent="0.25">
      <c r="A26" s="7"/>
    </row>
    <row r="27" spans="1:19" x14ac:dyDescent="0.25">
      <c r="A27" s="7"/>
    </row>
    <row r="28" spans="1:19" x14ac:dyDescent="0.25">
      <c r="A28" s="7"/>
    </row>
    <row r="29" spans="1:19" x14ac:dyDescent="0.25">
      <c r="A29" s="7"/>
    </row>
    <row r="30" spans="1:19" x14ac:dyDescent="0.25">
      <c r="A30" s="7"/>
    </row>
    <row r="31" spans="1:19" x14ac:dyDescent="0.25">
      <c r="A31" s="7"/>
    </row>
    <row r="32" spans="1:19" x14ac:dyDescent="0.25">
      <c r="A32" s="7"/>
    </row>
    <row r="33" spans="1:1" x14ac:dyDescent="0.25">
      <c r="A33" s="7"/>
    </row>
    <row r="34" spans="1:1" x14ac:dyDescent="0.25">
      <c r="A34" s="7"/>
    </row>
    <row r="35" spans="1:1" x14ac:dyDescent="0.25">
      <c r="A35" s="7"/>
    </row>
    <row r="36" spans="1:1" x14ac:dyDescent="0.25">
      <c r="A36" s="7"/>
    </row>
    <row r="37" spans="1:1" x14ac:dyDescent="0.25">
      <c r="A37" s="7"/>
    </row>
    <row r="38" spans="1:1" x14ac:dyDescent="0.25">
      <c r="A38" s="7"/>
    </row>
    <row r="39" spans="1:1" x14ac:dyDescent="0.25">
      <c r="A39" s="7"/>
    </row>
    <row r="40" spans="1:1" x14ac:dyDescent="0.25">
      <c r="A40" s="7"/>
    </row>
    <row r="41" spans="1:1" x14ac:dyDescent="0.25">
      <c r="A41" s="7"/>
    </row>
    <row r="42" spans="1:1" x14ac:dyDescent="0.25">
      <c r="A42" s="7"/>
    </row>
    <row r="43" spans="1:1" x14ac:dyDescent="0.25">
      <c r="A43" s="7"/>
    </row>
    <row r="44" spans="1:1" x14ac:dyDescent="0.25">
      <c r="A44" s="7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EG99"/>
  <sheetViews>
    <sheetView tabSelected="1" topLeftCell="A37" zoomScale="130" zoomScaleNormal="130" workbookViewId="0">
      <selection activeCell="EG63" sqref="EG63"/>
    </sheetView>
  </sheetViews>
  <sheetFormatPr baseColWidth="10" defaultRowHeight="15" x14ac:dyDescent="0.25"/>
  <cols>
    <col min="2" max="7" width="12.7109375" customWidth="1"/>
    <col min="8" max="8" width="5.7109375" customWidth="1"/>
    <col min="9" max="9" width="11.42578125" style="12"/>
    <col min="10" max="15" width="12.7109375" customWidth="1"/>
    <col min="16" max="16" width="5.7109375" customWidth="1"/>
    <col min="18" max="23" width="12.7109375" customWidth="1"/>
    <col min="24" max="24" width="5.7109375" customWidth="1"/>
    <col min="26" max="31" width="12.7109375" customWidth="1"/>
    <col min="32" max="32" width="5.7109375" customWidth="1"/>
    <col min="34" max="39" width="12.7109375" customWidth="1"/>
    <col min="40" max="40" width="5.7109375" customWidth="1"/>
    <col min="42" max="47" width="12.7109375" customWidth="1"/>
    <col min="48" max="48" width="5.7109375" customWidth="1"/>
    <col min="50" max="55" width="12.7109375" customWidth="1"/>
    <col min="56" max="56" width="5.7109375" customWidth="1"/>
    <col min="58" max="63" width="12.7109375" customWidth="1"/>
    <col min="64" max="64" width="5.7109375" customWidth="1"/>
    <col min="66" max="71" width="12.7109375" customWidth="1"/>
    <col min="72" max="72" width="5.7109375" customWidth="1"/>
    <col min="74" max="79" width="12.7109375" customWidth="1"/>
    <col min="80" max="80" width="5.7109375" customWidth="1"/>
    <col min="82" max="87" width="12.7109375" customWidth="1"/>
    <col min="88" max="88" width="5.7109375" customWidth="1"/>
    <col min="90" max="95" width="12.7109375" customWidth="1"/>
    <col min="96" max="96" width="5.7109375" customWidth="1"/>
    <col min="98" max="103" width="12.7109375" customWidth="1"/>
    <col min="104" max="104" width="5.7109375" customWidth="1"/>
    <col min="106" max="111" width="12.7109375" customWidth="1"/>
    <col min="112" max="112" width="5.7109375" customWidth="1"/>
    <col min="114" max="119" width="12.7109375" customWidth="1"/>
    <col min="120" max="120" width="5.7109375" customWidth="1"/>
    <col min="122" max="127" width="12.7109375" customWidth="1"/>
    <col min="128" max="128" width="5.7109375" customWidth="1"/>
    <col min="130" max="135" width="12.7109375" customWidth="1"/>
  </cols>
  <sheetData>
    <row r="1" spans="2:135" s="7" customFormat="1" x14ac:dyDescent="0.25">
      <c r="B1" s="11" t="s">
        <v>59</v>
      </c>
      <c r="C1" s="11" t="s">
        <v>89</v>
      </c>
      <c r="D1" s="11" t="s">
        <v>90</v>
      </c>
      <c r="E1" s="11" t="s">
        <v>91</v>
      </c>
      <c r="F1" s="11">
        <v>1506257</v>
      </c>
      <c r="G1" s="11" t="s">
        <v>92</v>
      </c>
      <c r="H1"/>
      <c r="I1" s="10"/>
      <c r="J1" s="11" t="s">
        <v>59</v>
      </c>
      <c r="K1" s="11" t="s">
        <v>89</v>
      </c>
      <c r="L1" s="11" t="s">
        <v>90</v>
      </c>
      <c r="M1" s="11" t="s">
        <v>91</v>
      </c>
      <c r="N1" s="11">
        <v>1506257</v>
      </c>
      <c r="O1" s="11" t="s">
        <v>92</v>
      </c>
      <c r="P1"/>
      <c r="Q1" s="10"/>
      <c r="R1" s="11" t="s">
        <v>59</v>
      </c>
      <c r="S1" s="11" t="s">
        <v>89</v>
      </c>
      <c r="T1" s="11" t="s">
        <v>90</v>
      </c>
      <c r="U1" s="11" t="s">
        <v>91</v>
      </c>
      <c r="V1" s="11">
        <v>1506257</v>
      </c>
      <c r="W1" s="11" t="s">
        <v>92</v>
      </c>
      <c r="X1"/>
      <c r="Y1" s="10"/>
      <c r="Z1" s="11" t="s">
        <v>59</v>
      </c>
      <c r="AA1" s="11" t="s">
        <v>89</v>
      </c>
      <c r="AB1" s="11" t="s">
        <v>90</v>
      </c>
      <c r="AC1" s="11" t="s">
        <v>91</v>
      </c>
      <c r="AD1" s="11">
        <v>1506257</v>
      </c>
      <c r="AE1" s="11" t="s">
        <v>92</v>
      </c>
      <c r="AF1"/>
      <c r="AG1" s="10"/>
      <c r="AH1" s="11" t="s">
        <v>59</v>
      </c>
      <c r="AI1" s="11" t="s">
        <v>89</v>
      </c>
      <c r="AJ1" s="11" t="s">
        <v>90</v>
      </c>
      <c r="AK1" s="11" t="s">
        <v>91</v>
      </c>
      <c r="AL1" s="11">
        <v>1506257</v>
      </c>
      <c r="AM1" s="11" t="s">
        <v>92</v>
      </c>
      <c r="AN1"/>
      <c r="AP1" s="11" t="s">
        <v>59</v>
      </c>
      <c r="AQ1" s="11" t="s">
        <v>89</v>
      </c>
      <c r="AR1" s="11" t="s">
        <v>90</v>
      </c>
      <c r="AS1" s="11" t="s">
        <v>91</v>
      </c>
      <c r="AT1" s="11">
        <v>1506257</v>
      </c>
      <c r="AU1" s="11" t="s">
        <v>92</v>
      </c>
      <c r="AV1"/>
      <c r="AW1" s="10"/>
      <c r="AX1" s="11" t="s">
        <v>59</v>
      </c>
      <c r="AY1" s="11" t="s">
        <v>89</v>
      </c>
      <c r="AZ1" s="11" t="s">
        <v>90</v>
      </c>
      <c r="BA1" s="11" t="s">
        <v>91</v>
      </c>
      <c r="BB1" s="11">
        <v>1506257</v>
      </c>
      <c r="BC1" s="11" t="s">
        <v>92</v>
      </c>
      <c r="BD1"/>
      <c r="BF1" s="11" t="s">
        <v>59</v>
      </c>
      <c r="BG1" s="11" t="s">
        <v>89</v>
      </c>
      <c r="BH1" s="11" t="s">
        <v>90</v>
      </c>
      <c r="BI1" s="11" t="s">
        <v>91</v>
      </c>
      <c r="BJ1" s="11">
        <v>1506257</v>
      </c>
      <c r="BK1" s="11" t="s">
        <v>92</v>
      </c>
      <c r="BL1"/>
      <c r="BN1" s="11" t="s">
        <v>59</v>
      </c>
      <c r="BO1" s="11" t="s">
        <v>89</v>
      </c>
      <c r="BP1" s="11" t="s">
        <v>90</v>
      </c>
      <c r="BQ1" s="11" t="s">
        <v>91</v>
      </c>
      <c r="BR1" s="11">
        <v>1506257</v>
      </c>
      <c r="BS1" s="11" t="s">
        <v>92</v>
      </c>
      <c r="BT1"/>
      <c r="BU1" s="10"/>
      <c r="BV1" s="11" t="s">
        <v>59</v>
      </c>
      <c r="BW1" s="11" t="s">
        <v>89</v>
      </c>
      <c r="BX1" s="11" t="s">
        <v>90</v>
      </c>
      <c r="BY1" s="11" t="s">
        <v>91</v>
      </c>
      <c r="BZ1" s="11">
        <v>1506257</v>
      </c>
      <c r="CA1" s="11" t="s">
        <v>92</v>
      </c>
      <c r="CB1"/>
      <c r="CD1" s="11" t="s">
        <v>59</v>
      </c>
      <c r="CE1" s="11" t="s">
        <v>89</v>
      </c>
      <c r="CF1" s="11" t="s">
        <v>90</v>
      </c>
      <c r="CG1" s="11" t="s">
        <v>91</v>
      </c>
      <c r="CH1" s="11">
        <v>1506257</v>
      </c>
      <c r="CI1" s="11" t="s">
        <v>92</v>
      </c>
      <c r="CJ1"/>
      <c r="CK1" s="10"/>
      <c r="CL1" s="11" t="s">
        <v>59</v>
      </c>
      <c r="CM1" s="11" t="s">
        <v>89</v>
      </c>
      <c r="CN1" s="11" t="s">
        <v>90</v>
      </c>
      <c r="CO1" s="11" t="s">
        <v>91</v>
      </c>
      <c r="CP1" s="11">
        <v>1506257</v>
      </c>
      <c r="CQ1" s="11" t="s">
        <v>92</v>
      </c>
      <c r="CR1"/>
      <c r="CS1" s="10"/>
      <c r="CT1" s="11" t="s">
        <v>59</v>
      </c>
      <c r="CU1" s="11" t="s">
        <v>89</v>
      </c>
      <c r="CV1" s="11" t="s">
        <v>90</v>
      </c>
      <c r="CW1" s="11" t="s">
        <v>91</v>
      </c>
      <c r="CX1" s="11">
        <v>1506257</v>
      </c>
      <c r="CY1" s="11" t="s">
        <v>92</v>
      </c>
      <c r="CZ1"/>
      <c r="DB1" s="11" t="s">
        <v>59</v>
      </c>
      <c r="DC1" s="11" t="s">
        <v>89</v>
      </c>
      <c r="DD1" s="11" t="s">
        <v>90</v>
      </c>
      <c r="DE1" s="11" t="s">
        <v>91</v>
      </c>
      <c r="DF1" s="11">
        <v>1506257</v>
      </c>
      <c r="DG1" s="11" t="s">
        <v>92</v>
      </c>
      <c r="DH1"/>
      <c r="DI1" s="10"/>
      <c r="DJ1" s="11" t="s">
        <v>59</v>
      </c>
      <c r="DK1" s="11" t="s">
        <v>89</v>
      </c>
      <c r="DL1" s="11" t="s">
        <v>90</v>
      </c>
      <c r="DM1" s="11" t="s">
        <v>91</v>
      </c>
      <c r="DN1" s="11">
        <v>1506257</v>
      </c>
      <c r="DO1" s="11" t="s">
        <v>92</v>
      </c>
      <c r="DP1"/>
      <c r="DQ1" s="10"/>
      <c r="DR1" s="11" t="s">
        <v>59</v>
      </c>
      <c r="DS1" s="11" t="s">
        <v>89</v>
      </c>
      <c r="DT1" s="11" t="s">
        <v>90</v>
      </c>
      <c r="DU1" s="11" t="s">
        <v>91</v>
      </c>
      <c r="DV1" s="11">
        <v>1506257</v>
      </c>
      <c r="DW1" s="11" t="s">
        <v>92</v>
      </c>
      <c r="DX1" s="13"/>
      <c r="DY1" s="10"/>
      <c r="DZ1" s="11" t="s">
        <v>59</v>
      </c>
      <c r="EA1" s="11" t="s">
        <v>89</v>
      </c>
      <c r="EB1" s="11" t="s">
        <v>90</v>
      </c>
      <c r="EC1" s="11" t="s">
        <v>91</v>
      </c>
      <c r="ED1" s="11">
        <v>1506257</v>
      </c>
      <c r="EE1" s="11" t="s">
        <v>92</v>
      </c>
    </row>
    <row r="2" spans="2:135" s="15" customFormat="1" ht="33" customHeight="1" x14ac:dyDescent="0.25">
      <c r="B2" s="59" t="s">
        <v>1</v>
      </c>
      <c r="C2" s="59"/>
      <c r="D2" s="59"/>
      <c r="E2" s="59"/>
      <c r="F2" s="59"/>
      <c r="G2" s="59"/>
      <c r="H2"/>
      <c r="I2" s="14"/>
      <c r="J2" s="59" t="s">
        <v>2</v>
      </c>
      <c r="K2" s="59"/>
      <c r="L2" s="59"/>
      <c r="M2" s="59"/>
      <c r="N2" s="59"/>
      <c r="O2" s="59"/>
      <c r="P2"/>
      <c r="Q2" s="14"/>
      <c r="R2" s="59" t="s">
        <v>3</v>
      </c>
      <c r="S2" s="59"/>
      <c r="T2" s="59"/>
      <c r="U2" s="59"/>
      <c r="V2" s="59"/>
      <c r="W2" s="59"/>
      <c r="X2"/>
      <c r="Y2" s="14"/>
      <c r="Z2" s="59" t="s">
        <v>4</v>
      </c>
      <c r="AA2" s="59"/>
      <c r="AB2" s="59"/>
      <c r="AC2" s="59"/>
      <c r="AD2" s="59"/>
      <c r="AE2" s="59"/>
      <c r="AF2"/>
      <c r="AG2" s="14"/>
      <c r="AH2" s="59" t="s">
        <v>5</v>
      </c>
      <c r="AI2" s="59"/>
      <c r="AJ2" s="59"/>
      <c r="AK2" s="59"/>
      <c r="AL2" s="59"/>
      <c r="AM2" s="59"/>
      <c r="AN2"/>
      <c r="AO2" s="14"/>
      <c r="AP2" s="59" t="s">
        <v>6</v>
      </c>
      <c r="AQ2" s="59"/>
      <c r="AR2" s="59"/>
      <c r="AS2" s="59"/>
      <c r="AT2" s="59"/>
      <c r="AU2" s="59"/>
      <c r="AV2"/>
      <c r="AW2" s="14"/>
      <c r="AX2" s="59" t="s">
        <v>7</v>
      </c>
      <c r="AY2" s="59"/>
      <c r="AZ2" s="59"/>
      <c r="BA2" s="59"/>
      <c r="BB2" s="59"/>
      <c r="BC2" s="59"/>
      <c r="BD2"/>
      <c r="BE2" s="14"/>
      <c r="BF2" s="59" t="s">
        <v>8</v>
      </c>
      <c r="BG2" s="59"/>
      <c r="BH2" s="59"/>
      <c r="BI2" s="59"/>
      <c r="BJ2" s="59"/>
      <c r="BK2" s="59"/>
      <c r="BL2"/>
      <c r="BM2" s="14"/>
      <c r="BN2" s="59" t="s">
        <v>9</v>
      </c>
      <c r="BO2" s="59"/>
      <c r="BP2" s="59"/>
      <c r="BQ2" s="59"/>
      <c r="BR2" s="59"/>
      <c r="BS2" s="59"/>
      <c r="BT2"/>
      <c r="BU2" s="14"/>
      <c r="BV2" s="59" t="s">
        <v>10</v>
      </c>
      <c r="BW2" s="59"/>
      <c r="BX2" s="59"/>
      <c r="BY2" s="59"/>
      <c r="BZ2" s="59"/>
      <c r="CA2" s="59"/>
      <c r="CB2"/>
      <c r="CC2" s="14"/>
      <c r="CD2" s="59" t="s">
        <v>11</v>
      </c>
      <c r="CE2" s="59"/>
      <c r="CF2" s="59"/>
      <c r="CG2" s="59"/>
      <c r="CH2" s="59"/>
      <c r="CI2" s="59"/>
      <c r="CJ2"/>
      <c r="CK2" s="14"/>
      <c r="CL2" s="59" t="s">
        <v>12</v>
      </c>
      <c r="CM2" s="59"/>
      <c r="CN2" s="59"/>
      <c r="CO2" s="59"/>
      <c r="CP2" s="59"/>
      <c r="CQ2" s="59"/>
      <c r="CR2"/>
      <c r="CS2" s="14"/>
      <c r="CT2" s="59" t="s">
        <v>13</v>
      </c>
      <c r="CU2" s="59"/>
      <c r="CV2" s="59"/>
      <c r="CW2" s="59"/>
      <c r="CX2" s="59"/>
      <c r="CY2" s="59"/>
      <c r="CZ2"/>
      <c r="DA2" s="14"/>
      <c r="DB2" s="59" t="s">
        <v>14</v>
      </c>
      <c r="DC2" s="59"/>
      <c r="DD2" s="59"/>
      <c r="DE2" s="59"/>
      <c r="DF2" s="59"/>
      <c r="DG2" s="59"/>
      <c r="DH2"/>
      <c r="DI2" s="14"/>
      <c r="DJ2" s="59" t="s">
        <v>15</v>
      </c>
      <c r="DK2" s="59"/>
      <c r="DL2" s="59"/>
      <c r="DM2" s="59"/>
      <c r="DN2" s="59"/>
      <c r="DO2" s="59"/>
      <c r="DP2"/>
      <c r="DQ2" s="14"/>
      <c r="DR2" s="59" t="s">
        <v>16</v>
      </c>
      <c r="DS2" s="59"/>
      <c r="DT2" s="59"/>
      <c r="DU2" s="59"/>
      <c r="DV2" s="59"/>
      <c r="DW2" s="59"/>
      <c r="DX2" s="14"/>
      <c r="DY2" s="14"/>
      <c r="DZ2" s="59" t="s">
        <v>17</v>
      </c>
      <c r="EA2" s="59"/>
      <c r="EB2" s="59"/>
      <c r="EC2" s="59"/>
      <c r="ED2" s="59"/>
      <c r="EE2" s="59"/>
    </row>
    <row r="3" spans="2:135" s="42" customFormat="1" ht="15.75" x14ac:dyDescent="0.25">
      <c r="B3" s="42">
        <v>46</v>
      </c>
      <c r="C3" s="35">
        <v>96</v>
      </c>
      <c r="D3" s="42">
        <v>283</v>
      </c>
      <c r="E3" s="42">
        <v>473</v>
      </c>
      <c r="F3" s="42">
        <v>382</v>
      </c>
      <c r="G3" s="7">
        <v>231</v>
      </c>
      <c r="I3" s="43"/>
      <c r="J3" s="42">
        <v>117.09699999999999</v>
      </c>
      <c r="K3" s="35">
        <v>250.72300000000001</v>
      </c>
      <c r="L3" s="42">
        <v>485.87400000000002</v>
      </c>
      <c r="M3" s="42">
        <v>655.21799999999996</v>
      </c>
      <c r="N3" s="42">
        <v>995.45</v>
      </c>
      <c r="O3" s="7">
        <v>691.69600000000003</v>
      </c>
      <c r="Q3" s="43"/>
      <c r="R3" s="42">
        <v>2.5459999999999998</v>
      </c>
      <c r="S3" s="35">
        <v>2.6120000000000001</v>
      </c>
      <c r="T3" s="42">
        <v>1.7170000000000001</v>
      </c>
      <c r="U3" s="42">
        <v>1.385</v>
      </c>
      <c r="V3" s="42">
        <v>2.6059999999999999</v>
      </c>
      <c r="W3" s="7">
        <v>2.9940000000000002</v>
      </c>
      <c r="Y3" s="43"/>
      <c r="Z3" s="42">
        <v>503.67899999999997</v>
      </c>
      <c r="AA3" s="35">
        <v>1200.194</v>
      </c>
      <c r="AB3" s="42">
        <v>2314.0619999999999</v>
      </c>
      <c r="AC3" s="42">
        <v>3225.8919999999998</v>
      </c>
      <c r="AD3" s="42">
        <v>4702.6769999999997</v>
      </c>
      <c r="AE3" s="7">
        <v>3024.1019999999999</v>
      </c>
      <c r="AG3" s="43"/>
      <c r="AH3" s="42">
        <v>10.95</v>
      </c>
      <c r="AI3" s="35">
        <v>12.502000000000001</v>
      </c>
      <c r="AJ3" s="42">
        <v>8.1769999999999996</v>
      </c>
      <c r="AK3" s="42">
        <v>6.82</v>
      </c>
      <c r="AL3" s="42">
        <v>12.311</v>
      </c>
      <c r="AM3" s="7">
        <v>13.090999999999999</v>
      </c>
      <c r="AO3" s="43"/>
      <c r="AP3" s="42">
        <v>2.927</v>
      </c>
      <c r="AQ3" s="35">
        <v>4.9320000000000004</v>
      </c>
      <c r="AR3" s="42">
        <v>3.4409999999999998</v>
      </c>
      <c r="AS3" s="42">
        <v>2.7269999999999999</v>
      </c>
      <c r="AT3" s="42">
        <v>3.613</v>
      </c>
      <c r="AU3" s="7">
        <v>3.806</v>
      </c>
      <c r="AW3" s="43"/>
      <c r="AX3" s="42">
        <v>3.887</v>
      </c>
      <c r="AY3" s="35">
        <v>4.8639999999999999</v>
      </c>
      <c r="AZ3" s="42">
        <v>3.2509999999999999</v>
      </c>
      <c r="BA3" s="42">
        <v>2.8359999999999999</v>
      </c>
      <c r="BB3" s="42">
        <v>4.7869999999999999</v>
      </c>
      <c r="BC3" s="7">
        <v>4.6989999999999998</v>
      </c>
      <c r="BF3" s="42">
        <v>93</v>
      </c>
      <c r="BG3" s="35">
        <v>173</v>
      </c>
      <c r="BH3" s="42">
        <v>411</v>
      </c>
      <c r="BI3" s="42">
        <v>676</v>
      </c>
      <c r="BJ3" s="42">
        <v>836</v>
      </c>
      <c r="BK3" s="7">
        <v>446</v>
      </c>
      <c r="BN3" s="42">
        <v>2.0219999999999998</v>
      </c>
      <c r="BO3" s="35">
        <v>1.802</v>
      </c>
      <c r="BP3" s="42">
        <v>1.452</v>
      </c>
      <c r="BQ3" s="42">
        <v>1.429</v>
      </c>
      <c r="BR3" s="42">
        <v>2.1880000000000002</v>
      </c>
      <c r="BS3" s="7">
        <v>1.931</v>
      </c>
      <c r="BU3" s="43"/>
      <c r="BV3" s="42">
        <v>220.02500000000001</v>
      </c>
      <c r="BW3" s="35">
        <v>528.95100000000002</v>
      </c>
      <c r="BX3" s="42">
        <v>949.54399999999998</v>
      </c>
      <c r="BY3" s="42">
        <v>1288.682</v>
      </c>
      <c r="BZ3" s="42">
        <v>2144.0940000000001</v>
      </c>
      <c r="CA3" s="7">
        <v>1385.9179999999999</v>
      </c>
      <c r="CD3" s="35">
        <v>4.7830000000000004</v>
      </c>
      <c r="CE3" s="35">
        <v>5.51</v>
      </c>
      <c r="CF3" s="35">
        <v>3.355</v>
      </c>
      <c r="CG3" s="35">
        <v>2.7240000000000002</v>
      </c>
      <c r="CH3" s="42">
        <v>5.6130000000000004</v>
      </c>
      <c r="CI3" s="16">
        <v>6</v>
      </c>
      <c r="CK3" s="17"/>
      <c r="CL3" s="35">
        <v>2.3660000000000001</v>
      </c>
      <c r="CM3" s="35">
        <v>3.0579999999999998</v>
      </c>
      <c r="CN3" s="35">
        <v>2.31</v>
      </c>
      <c r="CO3" s="35">
        <v>1.9059999999999999</v>
      </c>
      <c r="CP3" s="42">
        <v>2.5649999999999999</v>
      </c>
      <c r="CQ3" s="16">
        <v>3.1070000000000002</v>
      </c>
      <c r="CS3" s="17"/>
      <c r="CT3" s="35">
        <v>25</v>
      </c>
      <c r="CU3" s="35">
        <v>39</v>
      </c>
      <c r="CV3" s="35">
        <v>68</v>
      </c>
      <c r="CW3" s="35">
        <v>104</v>
      </c>
      <c r="CX3" s="42">
        <v>236</v>
      </c>
      <c r="CY3" s="16">
        <v>115</v>
      </c>
      <c r="DA3" s="35"/>
      <c r="DB3" s="35">
        <v>0.54300000000000004</v>
      </c>
      <c r="DC3" s="35">
        <v>0.40600000000000003</v>
      </c>
      <c r="DD3" s="35">
        <v>0.24</v>
      </c>
      <c r="DE3" s="35">
        <v>0.22</v>
      </c>
      <c r="DF3" s="42">
        <v>0.61799999999999999</v>
      </c>
      <c r="DG3" s="16">
        <v>0.498</v>
      </c>
      <c r="DI3" s="35"/>
      <c r="DJ3" s="35">
        <v>103</v>
      </c>
      <c r="DK3" s="35">
        <v>221</v>
      </c>
      <c r="DL3" s="35">
        <v>571</v>
      </c>
      <c r="DM3" s="35">
        <v>959</v>
      </c>
      <c r="DN3" s="42">
        <v>921</v>
      </c>
      <c r="DO3" s="16">
        <v>523</v>
      </c>
      <c r="DQ3" s="17"/>
      <c r="DR3" s="35">
        <v>2.2389999999999999</v>
      </c>
      <c r="DS3" s="35">
        <v>2.302</v>
      </c>
      <c r="DT3" s="35">
        <v>2.0179999999999998</v>
      </c>
      <c r="DU3" s="35">
        <v>2.0270000000000001</v>
      </c>
      <c r="DV3" s="42">
        <v>2.411</v>
      </c>
      <c r="DW3" s="16">
        <v>2.2639999999999998</v>
      </c>
      <c r="DX3" s="35"/>
      <c r="DY3" s="17"/>
      <c r="DZ3" s="35">
        <v>0.51300000000000001</v>
      </c>
      <c r="EA3" s="35">
        <v>0.48099999999999998</v>
      </c>
      <c r="EB3" s="35">
        <v>0.48499999999999999</v>
      </c>
      <c r="EC3" s="35">
        <v>0.47099999999999997</v>
      </c>
      <c r="ED3" s="42">
        <v>0.47099999999999997</v>
      </c>
      <c r="EE3" s="16">
        <v>0.495</v>
      </c>
    </row>
    <row r="4" spans="2:135" s="7" customFormat="1" x14ac:dyDescent="0.25">
      <c r="B4" s="7">
        <v>128</v>
      </c>
      <c r="C4" s="35">
        <v>118</v>
      </c>
      <c r="D4" s="7">
        <v>330</v>
      </c>
      <c r="E4" s="7">
        <v>283</v>
      </c>
      <c r="F4" s="7">
        <v>970</v>
      </c>
      <c r="G4" s="7">
        <v>90</v>
      </c>
      <c r="I4" s="10"/>
      <c r="J4" s="7">
        <v>227.32499999999999</v>
      </c>
      <c r="K4" s="35">
        <v>319.483</v>
      </c>
      <c r="L4" s="7">
        <v>594.75699999999995</v>
      </c>
      <c r="M4" s="7">
        <v>417.93599999999998</v>
      </c>
      <c r="N4" s="7">
        <v>1050.7860000000001</v>
      </c>
      <c r="O4" s="7">
        <v>206.13399999999999</v>
      </c>
      <c r="R4" s="7">
        <v>1.776</v>
      </c>
      <c r="S4" s="35">
        <v>2.7069999999999999</v>
      </c>
      <c r="T4" s="7">
        <v>1.802</v>
      </c>
      <c r="U4" s="7">
        <v>1.4770000000000001</v>
      </c>
      <c r="V4" s="7">
        <v>1.083</v>
      </c>
      <c r="W4" s="7">
        <v>2.29</v>
      </c>
      <c r="Y4" s="10"/>
      <c r="Z4" s="7">
        <v>1030.83</v>
      </c>
      <c r="AA4" s="35">
        <v>1414.3920000000001</v>
      </c>
      <c r="AB4" s="7">
        <v>2719.0749999999998</v>
      </c>
      <c r="AC4" s="7">
        <v>2048.058</v>
      </c>
      <c r="AD4" s="7">
        <v>5660.058</v>
      </c>
      <c r="AE4" s="7">
        <v>905.69399999999996</v>
      </c>
      <c r="AG4" s="10"/>
      <c r="AH4" s="7">
        <v>8.0530000000000008</v>
      </c>
      <c r="AI4" s="35">
        <v>11.986000000000001</v>
      </c>
      <c r="AJ4" s="7">
        <v>8.24</v>
      </c>
      <c r="AK4" s="7">
        <v>7.2370000000000001</v>
      </c>
      <c r="AL4" s="7">
        <v>5.835</v>
      </c>
      <c r="AM4" s="7">
        <v>10.063000000000001</v>
      </c>
      <c r="AP4" s="7">
        <v>3.3119999999999998</v>
      </c>
      <c r="AQ4" s="35">
        <v>3.6859999999999999</v>
      </c>
      <c r="AR4" s="7">
        <v>3.3959999999999999</v>
      </c>
      <c r="AS4" s="7">
        <v>3.0870000000000002</v>
      </c>
      <c r="AT4" s="7">
        <v>3.0950000000000002</v>
      </c>
      <c r="AU4" s="7">
        <v>4.1580000000000004</v>
      </c>
      <c r="AX4" s="7">
        <v>3.0059999999999998</v>
      </c>
      <c r="AY4" s="35">
        <v>4.3929999999999998</v>
      </c>
      <c r="AZ4" s="7">
        <v>3.1509999999999998</v>
      </c>
      <c r="BA4" s="7">
        <v>2.9729999999999999</v>
      </c>
      <c r="BB4" s="7">
        <v>2.61</v>
      </c>
      <c r="BC4" s="7">
        <v>3.66</v>
      </c>
      <c r="BF4" s="7">
        <v>195</v>
      </c>
      <c r="BG4" s="35">
        <v>227</v>
      </c>
      <c r="BH4" s="7">
        <v>486</v>
      </c>
      <c r="BI4" s="7">
        <v>426</v>
      </c>
      <c r="BJ4" s="7">
        <v>1224</v>
      </c>
      <c r="BK4" s="7">
        <v>139</v>
      </c>
      <c r="BN4" s="7">
        <v>1.5229999999999999</v>
      </c>
      <c r="BO4" s="35">
        <v>1.9239999999999999</v>
      </c>
      <c r="BP4" s="7">
        <v>1.4730000000000001</v>
      </c>
      <c r="BQ4" s="7">
        <v>1.5049999999999999</v>
      </c>
      <c r="BR4" s="7">
        <v>1.262</v>
      </c>
      <c r="BS4" s="7">
        <v>1.544</v>
      </c>
      <c r="BU4" s="10"/>
      <c r="BV4" s="7">
        <v>402.90100000000001</v>
      </c>
      <c r="BW4" s="35">
        <v>644.49</v>
      </c>
      <c r="BX4" s="7">
        <v>1100.1759999999999</v>
      </c>
      <c r="BY4" s="7">
        <v>834.72299999999996</v>
      </c>
      <c r="BZ4" s="7">
        <v>2117.4899999999998</v>
      </c>
      <c r="CA4" s="7">
        <v>384.34800000000001</v>
      </c>
      <c r="CD4" s="7">
        <v>3.1480000000000001</v>
      </c>
      <c r="CE4" s="35">
        <v>5.4619999999999997</v>
      </c>
      <c r="CF4" s="7">
        <v>3.3340000000000001</v>
      </c>
      <c r="CG4" s="7">
        <v>2.95</v>
      </c>
      <c r="CH4" s="7">
        <v>2.1829999999999998</v>
      </c>
      <c r="CI4" s="7">
        <v>4.2709999999999999</v>
      </c>
      <c r="CK4" s="10"/>
      <c r="CL4" s="7">
        <v>2.0659999999999998</v>
      </c>
      <c r="CM4" s="35">
        <v>2.839</v>
      </c>
      <c r="CN4" s="7">
        <v>2.2639999999999998</v>
      </c>
      <c r="CO4" s="7">
        <v>1.9590000000000001</v>
      </c>
      <c r="CP4" s="7">
        <v>1.73</v>
      </c>
      <c r="CQ4" s="7">
        <v>2.7650000000000001</v>
      </c>
      <c r="CS4" s="10"/>
      <c r="CT4" s="7">
        <v>35</v>
      </c>
      <c r="CU4" s="35">
        <v>57</v>
      </c>
      <c r="CV4" s="7">
        <v>80</v>
      </c>
      <c r="CW4" s="7">
        <v>74</v>
      </c>
      <c r="CX4" s="7">
        <v>129</v>
      </c>
      <c r="CY4" s="7">
        <v>26</v>
      </c>
      <c r="DB4" s="7">
        <v>0.27300000000000002</v>
      </c>
      <c r="DC4" s="35">
        <v>0.48299999999999998</v>
      </c>
      <c r="DD4" s="7">
        <v>0.24199999999999999</v>
      </c>
      <c r="DE4" s="7">
        <v>0.26100000000000001</v>
      </c>
      <c r="DF4" s="7">
        <v>0.13300000000000001</v>
      </c>
      <c r="DG4" s="7">
        <v>0.28899999999999998</v>
      </c>
      <c r="DJ4" s="7">
        <v>269</v>
      </c>
      <c r="DK4" s="35">
        <v>265</v>
      </c>
      <c r="DL4" s="7">
        <v>687</v>
      </c>
      <c r="DM4" s="7">
        <v>592</v>
      </c>
      <c r="DN4" s="7">
        <v>1956</v>
      </c>
      <c r="DO4" s="7">
        <v>184</v>
      </c>
      <c r="DR4" s="7">
        <v>2.1019999999999999</v>
      </c>
      <c r="DS4" s="35">
        <v>2.246</v>
      </c>
      <c r="DT4" s="7">
        <v>2.0819999999999999</v>
      </c>
      <c r="DU4" s="7">
        <v>2.0920000000000001</v>
      </c>
      <c r="DV4" s="7">
        <v>2.016</v>
      </c>
      <c r="DW4" s="7">
        <v>2.044</v>
      </c>
      <c r="DY4" s="10"/>
      <c r="DZ4" s="7">
        <v>0.504</v>
      </c>
      <c r="EA4" s="35">
        <v>0.49099999999999999</v>
      </c>
      <c r="EB4" s="7">
        <v>0.50600000000000001</v>
      </c>
      <c r="EC4" s="7">
        <v>0.47099999999999997</v>
      </c>
      <c r="ED4" s="7">
        <v>0.44700000000000001</v>
      </c>
      <c r="EE4" s="7">
        <v>0.51600000000000001</v>
      </c>
    </row>
    <row r="5" spans="2:135" s="7" customFormat="1" x14ac:dyDescent="0.25">
      <c r="B5" s="7">
        <v>87</v>
      </c>
      <c r="C5" s="35">
        <v>107</v>
      </c>
      <c r="D5" s="7">
        <v>225</v>
      </c>
      <c r="E5" s="7">
        <v>314</v>
      </c>
      <c r="F5" s="7">
        <v>102</v>
      </c>
      <c r="G5" s="7">
        <v>125</v>
      </c>
      <c r="I5" s="10"/>
      <c r="J5" s="7">
        <v>209.36199999999999</v>
      </c>
      <c r="K5" s="35">
        <v>221.89400000000001</v>
      </c>
      <c r="L5" s="7">
        <v>538.61</v>
      </c>
      <c r="M5" s="7">
        <v>502.55700000000002</v>
      </c>
      <c r="N5" s="7">
        <v>345.17399999999998</v>
      </c>
      <c r="O5" s="7">
        <v>229.11</v>
      </c>
      <c r="R5" s="7">
        <v>2.4060000000000001</v>
      </c>
      <c r="S5" s="35">
        <v>2.0739999999999998</v>
      </c>
      <c r="T5" s="7">
        <v>2.3940000000000001</v>
      </c>
      <c r="U5" s="7">
        <v>1.6</v>
      </c>
      <c r="V5" s="7">
        <v>3.3839999999999999</v>
      </c>
      <c r="W5" s="7">
        <v>1.833</v>
      </c>
      <c r="Z5" s="7">
        <v>969.82399999999996</v>
      </c>
      <c r="AA5" s="35">
        <v>1081.8710000000001</v>
      </c>
      <c r="AB5" s="7">
        <v>2532.0889999999999</v>
      </c>
      <c r="AC5" s="7">
        <v>2473.2779999999998</v>
      </c>
      <c r="AD5" s="7">
        <v>1596.47</v>
      </c>
      <c r="AE5" s="7">
        <v>1084.6569999999999</v>
      </c>
      <c r="AH5" s="7">
        <v>11.147</v>
      </c>
      <c r="AI5" s="35">
        <v>10.111000000000001</v>
      </c>
      <c r="AJ5" s="7">
        <v>11.254</v>
      </c>
      <c r="AK5" s="7">
        <v>7.8769999999999998</v>
      </c>
      <c r="AL5" s="7">
        <v>15.651999999999999</v>
      </c>
      <c r="AM5" s="7">
        <v>8.6769999999999996</v>
      </c>
      <c r="AP5" s="7">
        <v>3.5680000000000001</v>
      </c>
      <c r="AQ5" s="35">
        <v>3.67</v>
      </c>
      <c r="AR5" s="7">
        <v>3.113</v>
      </c>
      <c r="AS5" s="7">
        <v>3.63</v>
      </c>
      <c r="AT5" s="7">
        <v>3.5539999999999998</v>
      </c>
      <c r="AU5" s="7">
        <v>2.96</v>
      </c>
      <c r="AX5" s="7">
        <v>4.1900000000000004</v>
      </c>
      <c r="AY5" s="35">
        <v>4.0389999999999997</v>
      </c>
      <c r="AZ5" s="7">
        <v>4.375</v>
      </c>
      <c r="BA5" s="7">
        <v>3.218</v>
      </c>
      <c r="BB5" s="7">
        <v>6.0069999999999997</v>
      </c>
      <c r="BC5" s="7">
        <v>3.411</v>
      </c>
      <c r="BF5" s="7">
        <v>152</v>
      </c>
      <c r="BG5" s="35">
        <v>184</v>
      </c>
      <c r="BH5" s="7">
        <v>385</v>
      </c>
      <c r="BI5" s="7">
        <v>436</v>
      </c>
      <c r="BJ5" s="7">
        <v>278</v>
      </c>
      <c r="BK5" s="7">
        <v>231</v>
      </c>
      <c r="BN5" s="7">
        <v>1.7470000000000001</v>
      </c>
      <c r="BO5" s="35">
        <v>1.72</v>
      </c>
      <c r="BP5" s="7">
        <v>1.7110000000000001</v>
      </c>
      <c r="BQ5" s="7">
        <v>1.389</v>
      </c>
      <c r="BR5" s="7">
        <v>2.7250000000000001</v>
      </c>
      <c r="BS5" s="7">
        <v>1.8480000000000001</v>
      </c>
      <c r="BV5" s="7">
        <v>408.03500000000003</v>
      </c>
      <c r="BW5" s="35">
        <v>463.66699999999997</v>
      </c>
      <c r="BX5" s="7">
        <v>1101.2449999999999</v>
      </c>
      <c r="BY5" s="7">
        <v>1008.886</v>
      </c>
      <c r="BZ5" s="7">
        <v>787.76700000000005</v>
      </c>
      <c r="CA5" s="7">
        <v>477.99599999999998</v>
      </c>
      <c r="CD5" s="7">
        <v>4.6900000000000004</v>
      </c>
      <c r="CE5" s="35">
        <v>4.3330000000000002</v>
      </c>
      <c r="CF5" s="7">
        <v>4.8940000000000001</v>
      </c>
      <c r="CG5" s="7">
        <v>3.2130000000000001</v>
      </c>
      <c r="CH5" s="7">
        <v>7.7229999999999999</v>
      </c>
      <c r="CI5" s="7">
        <v>3.8239999999999998</v>
      </c>
      <c r="CL5" s="7">
        <v>2.6840000000000002</v>
      </c>
      <c r="CM5" s="35">
        <v>2.52</v>
      </c>
      <c r="CN5" s="7">
        <v>2.86</v>
      </c>
      <c r="CO5" s="7">
        <v>2.3140000000000001</v>
      </c>
      <c r="CP5" s="7">
        <v>2.8340000000000001</v>
      </c>
      <c r="CQ5" s="7">
        <v>2.069</v>
      </c>
      <c r="CS5" s="10"/>
      <c r="CT5" s="7">
        <v>33</v>
      </c>
      <c r="CU5" s="35">
        <v>39</v>
      </c>
      <c r="CV5" s="7">
        <v>82</v>
      </c>
      <c r="CW5" s="7">
        <v>64</v>
      </c>
      <c r="CX5" s="7">
        <v>92</v>
      </c>
      <c r="CY5" s="7">
        <v>55</v>
      </c>
      <c r="DB5" s="7">
        <v>0.379</v>
      </c>
      <c r="DC5" s="35">
        <v>0.36399999999999999</v>
      </c>
      <c r="DD5" s="7">
        <v>0.36399999999999999</v>
      </c>
      <c r="DE5" s="7">
        <v>0.20399999999999999</v>
      </c>
      <c r="DF5" s="7">
        <v>0.90200000000000002</v>
      </c>
      <c r="DG5" s="7">
        <v>0.44</v>
      </c>
      <c r="DJ5" s="7">
        <v>195</v>
      </c>
      <c r="DK5" s="35">
        <v>242</v>
      </c>
      <c r="DL5" s="7">
        <v>484</v>
      </c>
      <c r="DM5" s="7">
        <v>644</v>
      </c>
      <c r="DN5" s="7">
        <v>265</v>
      </c>
      <c r="DO5" s="7">
        <v>282</v>
      </c>
      <c r="DR5" s="7">
        <v>2.2410000000000001</v>
      </c>
      <c r="DS5" s="35">
        <v>2.262</v>
      </c>
      <c r="DT5" s="7">
        <v>2.1509999999999998</v>
      </c>
      <c r="DU5" s="7">
        <v>2.0510000000000002</v>
      </c>
      <c r="DV5" s="7">
        <v>2.5979999999999999</v>
      </c>
      <c r="DW5" s="7">
        <v>2.2559999999999998</v>
      </c>
      <c r="DZ5" s="7">
        <v>0.495</v>
      </c>
      <c r="EA5" s="35">
        <v>0.47399999999999998</v>
      </c>
      <c r="EB5" s="7">
        <v>0.48399999999999999</v>
      </c>
      <c r="EC5" s="7">
        <v>0.47499999999999998</v>
      </c>
      <c r="ED5" s="7">
        <v>0.46400000000000002</v>
      </c>
      <c r="EE5" s="7">
        <v>0.46100000000000002</v>
      </c>
    </row>
    <row r="6" spans="2:135" s="7" customFormat="1" x14ac:dyDescent="0.25">
      <c r="B6" s="7">
        <v>103</v>
      </c>
      <c r="C6" s="35">
        <v>84</v>
      </c>
      <c r="D6" s="7">
        <v>442</v>
      </c>
      <c r="E6" s="7">
        <v>587</v>
      </c>
      <c r="F6" s="7">
        <v>285</v>
      </c>
      <c r="G6" s="7">
        <v>161</v>
      </c>
      <c r="I6" s="10"/>
      <c r="J6" s="7">
        <v>167.02</v>
      </c>
      <c r="K6" s="35">
        <v>175.24600000000001</v>
      </c>
      <c r="L6" s="7">
        <v>739.07500000000005</v>
      </c>
      <c r="M6" s="7">
        <v>430.952</v>
      </c>
      <c r="N6" s="7">
        <v>589.12800000000004</v>
      </c>
      <c r="O6" s="7">
        <v>233.30799999999999</v>
      </c>
      <c r="R6" s="7">
        <v>1.6220000000000001</v>
      </c>
      <c r="S6" s="35">
        <v>2.0859999999999999</v>
      </c>
      <c r="T6" s="7">
        <v>1.6719999999999999</v>
      </c>
      <c r="U6" s="7">
        <v>0.73399999999999999</v>
      </c>
      <c r="V6" s="7">
        <v>2.0670000000000002</v>
      </c>
      <c r="W6" s="7">
        <v>1.4490000000000001</v>
      </c>
      <c r="Z6" s="7">
        <v>707.61800000000005</v>
      </c>
      <c r="AA6" s="35">
        <v>844.66499999999996</v>
      </c>
      <c r="AB6" s="7">
        <v>3753.913</v>
      </c>
      <c r="AC6" s="7">
        <v>2465.4160000000002</v>
      </c>
      <c r="AD6" s="7">
        <v>3004.9470000000001</v>
      </c>
      <c r="AE6" s="7">
        <v>1180.9880000000001</v>
      </c>
      <c r="AH6" s="7">
        <v>6.87</v>
      </c>
      <c r="AI6" s="35">
        <v>10.055999999999999</v>
      </c>
      <c r="AJ6" s="7">
        <v>8.4930000000000003</v>
      </c>
      <c r="AK6" s="7">
        <v>4.2</v>
      </c>
      <c r="AL6" s="7">
        <v>10.544</v>
      </c>
      <c r="AM6" s="7">
        <v>7.335</v>
      </c>
      <c r="AP6" s="7">
        <v>2.819</v>
      </c>
      <c r="AQ6" s="35">
        <v>2.9889999999999999</v>
      </c>
      <c r="AR6" s="7">
        <v>2.9620000000000002</v>
      </c>
      <c r="AS6" s="7">
        <v>2.7650000000000001</v>
      </c>
      <c r="AT6" s="7">
        <v>3.5169999999999999</v>
      </c>
      <c r="AU6" s="7">
        <v>3.2480000000000002</v>
      </c>
      <c r="AX6" s="7">
        <v>2.4049999999999998</v>
      </c>
      <c r="AY6" s="35">
        <v>3.9830000000000001</v>
      </c>
      <c r="AZ6" s="7">
        <v>3.56</v>
      </c>
      <c r="BA6" s="7">
        <v>2.0139999999999998</v>
      </c>
      <c r="BB6" s="7">
        <v>4.407</v>
      </c>
      <c r="BC6" s="7">
        <v>3.036</v>
      </c>
      <c r="BF6" s="7">
        <v>137</v>
      </c>
      <c r="BG6" s="35">
        <v>179</v>
      </c>
      <c r="BH6" s="7">
        <v>737</v>
      </c>
      <c r="BI6" s="7">
        <v>646</v>
      </c>
      <c r="BJ6" s="7">
        <v>531</v>
      </c>
      <c r="BK6" s="7">
        <v>228</v>
      </c>
      <c r="BN6" s="7">
        <v>1.33</v>
      </c>
      <c r="BO6" s="35">
        <v>2.1309999999999998</v>
      </c>
      <c r="BP6" s="7">
        <v>1.667</v>
      </c>
      <c r="BQ6" s="7">
        <v>1.101</v>
      </c>
      <c r="BR6" s="7">
        <v>1.863</v>
      </c>
      <c r="BS6" s="7">
        <v>1.4159999999999999</v>
      </c>
      <c r="BV6" s="7">
        <v>247.559</v>
      </c>
      <c r="BW6" s="35">
        <v>369.65699999999998</v>
      </c>
      <c r="BX6" s="7">
        <v>1568.239</v>
      </c>
      <c r="BY6" s="7">
        <v>800.90200000000004</v>
      </c>
      <c r="BZ6" s="7">
        <v>1324.921</v>
      </c>
      <c r="CA6" s="7">
        <v>450.68099999999998</v>
      </c>
      <c r="CD6" s="7">
        <v>2.403</v>
      </c>
      <c r="CE6" s="35">
        <v>4.4009999999999998</v>
      </c>
      <c r="CF6" s="7">
        <v>3.548</v>
      </c>
      <c r="CG6" s="7">
        <v>1.3640000000000001</v>
      </c>
      <c r="CH6" s="7">
        <v>4.649</v>
      </c>
      <c r="CI6" s="7">
        <v>2.7989999999999999</v>
      </c>
      <c r="CL6" s="7">
        <v>1.8069999999999999</v>
      </c>
      <c r="CM6" s="35">
        <v>2.0649999999999999</v>
      </c>
      <c r="CN6" s="7">
        <v>2.1280000000000001</v>
      </c>
      <c r="CO6" s="7">
        <v>1.24</v>
      </c>
      <c r="CP6" s="7">
        <v>2.4950000000000001</v>
      </c>
      <c r="CQ6" s="7">
        <v>1.9770000000000001</v>
      </c>
      <c r="CS6" s="10"/>
      <c r="CT6" s="7">
        <v>19</v>
      </c>
      <c r="CU6" s="35">
        <v>50</v>
      </c>
      <c r="CV6" s="7">
        <v>152</v>
      </c>
      <c r="CW6" s="7">
        <v>30</v>
      </c>
      <c r="CX6" s="7">
        <v>128</v>
      </c>
      <c r="CY6" s="7">
        <v>34</v>
      </c>
      <c r="DB6" s="7">
        <v>0.184</v>
      </c>
      <c r="DC6" s="35">
        <v>0.59499999999999997</v>
      </c>
      <c r="DD6" s="7">
        <v>0.34399999999999997</v>
      </c>
      <c r="DE6" s="7">
        <v>5.0999999999999997E-2</v>
      </c>
      <c r="DF6" s="7">
        <v>0.44900000000000001</v>
      </c>
      <c r="DG6" s="7">
        <v>0.21099999999999999</v>
      </c>
      <c r="DJ6" s="7">
        <v>210</v>
      </c>
      <c r="DK6" s="35">
        <v>201</v>
      </c>
      <c r="DL6" s="7">
        <v>958</v>
      </c>
      <c r="DM6" s="7">
        <v>1111</v>
      </c>
      <c r="DN6" s="7">
        <v>651</v>
      </c>
      <c r="DO6" s="7">
        <v>335</v>
      </c>
      <c r="DR6" s="7">
        <v>2.0390000000000001</v>
      </c>
      <c r="DS6" s="35">
        <v>2.3929999999999998</v>
      </c>
      <c r="DT6" s="7">
        <v>2.1669999999999998</v>
      </c>
      <c r="DU6" s="7">
        <v>1.893</v>
      </c>
      <c r="DV6" s="7">
        <v>2.2839999999999998</v>
      </c>
      <c r="DW6" s="7">
        <v>2.081</v>
      </c>
      <c r="DZ6" s="7">
        <v>0.54100000000000004</v>
      </c>
      <c r="EA6" s="35">
        <v>0.46200000000000002</v>
      </c>
      <c r="EB6" s="7">
        <v>0.45600000000000002</v>
      </c>
      <c r="EC6" s="7">
        <v>0.434</v>
      </c>
      <c r="ED6" s="7">
        <v>0.44700000000000001</v>
      </c>
      <c r="EE6" s="7">
        <v>0.46600000000000003</v>
      </c>
    </row>
    <row r="7" spans="2:135" s="7" customFormat="1" ht="15.75" x14ac:dyDescent="0.25">
      <c r="B7" s="7">
        <v>221</v>
      </c>
      <c r="C7" s="35">
        <v>97</v>
      </c>
      <c r="D7" s="7">
        <v>325</v>
      </c>
      <c r="E7" s="7">
        <v>306</v>
      </c>
      <c r="F7" s="7">
        <v>92</v>
      </c>
      <c r="G7" s="7">
        <v>86</v>
      </c>
      <c r="I7" s="10"/>
      <c r="J7" s="7">
        <v>356.36700000000002</v>
      </c>
      <c r="K7" s="35">
        <v>145.71600000000001</v>
      </c>
      <c r="L7" s="7">
        <v>433.27699999999999</v>
      </c>
      <c r="M7" s="7">
        <v>286.64699999999999</v>
      </c>
      <c r="N7" s="7">
        <v>193.245</v>
      </c>
      <c r="O7" s="7">
        <v>166.45500000000001</v>
      </c>
      <c r="R7" s="7">
        <v>1.613</v>
      </c>
      <c r="S7" s="35">
        <v>1.502</v>
      </c>
      <c r="T7" s="7">
        <v>1.333</v>
      </c>
      <c r="U7" s="7">
        <v>0.93700000000000006</v>
      </c>
      <c r="V7" s="7">
        <v>2.1</v>
      </c>
      <c r="W7" s="7">
        <v>1.9359999999999999</v>
      </c>
      <c r="Z7" s="7">
        <v>1660.1389999999999</v>
      </c>
      <c r="AA7" s="35">
        <v>728.798</v>
      </c>
      <c r="AB7" s="7">
        <v>2247.3890000000001</v>
      </c>
      <c r="AC7" s="7">
        <v>1577.742</v>
      </c>
      <c r="AD7" s="7">
        <v>919.44299999999998</v>
      </c>
      <c r="AE7" s="7">
        <v>763.52800000000002</v>
      </c>
      <c r="AH7" s="7">
        <v>7.5119999999999996</v>
      </c>
      <c r="AI7" s="35">
        <v>7.5129999999999999</v>
      </c>
      <c r="AJ7" s="7">
        <v>6.915</v>
      </c>
      <c r="AK7" s="7">
        <v>5.1559999999999997</v>
      </c>
      <c r="AL7" s="7">
        <v>9.9939999999999998</v>
      </c>
      <c r="AM7" s="7">
        <v>8.8780000000000001</v>
      </c>
      <c r="AP7" s="7">
        <v>3.4860000000000002</v>
      </c>
      <c r="AQ7" s="35">
        <v>2.6920000000000002</v>
      </c>
      <c r="AR7" s="7">
        <v>3.6619999999999999</v>
      </c>
      <c r="AS7" s="7">
        <v>2.996</v>
      </c>
      <c r="AT7" s="7">
        <v>2.9409999999999998</v>
      </c>
      <c r="AU7" s="7">
        <v>3.2309999999999999</v>
      </c>
      <c r="AX7" s="7">
        <v>2.8690000000000002</v>
      </c>
      <c r="AY7" s="35">
        <v>3.125</v>
      </c>
      <c r="AZ7" s="7">
        <v>2.9780000000000002</v>
      </c>
      <c r="BA7" s="7">
        <v>2.367</v>
      </c>
      <c r="BB7" s="7">
        <v>3.927</v>
      </c>
      <c r="BC7" s="7">
        <v>3.34</v>
      </c>
      <c r="BF7" s="7">
        <v>289</v>
      </c>
      <c r="BG7" s="35">
        <v>153</v>
      </c>
      <c r="BH7" s="7">
        <v>418</v>
      </c>
      <c r="BI7" s="7">
        <v>358</v>
      </c>
      <c r="BJ7" s="7">
        <v>173</v>
      </c>
      <c r="BK7" s="7">
        <v>135</v>
      </c>
      <c r="BN7" s="7">
        <v>1.3080000000000001</v>
      </c>
      <c r="BO7" s="35">
        <v>1.577</v>
      </c>
      <c r="BP7" s="7">
        <v>1.286</v>
      </c>
      <c r="BQ7" s="7">
        <v>1.17</v>
      </c>
      <c r="BR7" s="7">
        <v>1.88</v>
      </c>
      <c r="BS7" s="7">
        <v>1.57</v>
      </c>
      <c r="BV7" s="7">
        <v>631.69200000000001</v>
      </c>
      <c r="BW7" s="35">
        <v>298.56700000000001</v>
      </c>
      <c r="BX7" s="7">
        <v>882.20100000000002</v>
      </c>
      <c r="BY7" s="7">
        <v>561.49699999999996</v>
      </c>
      <c r="BZ7" s="7">
        <v>387.154</v>
      </c>
      <c r="CA7" s="7">
        <v>302.45400000000001</v>
      </c>
      <c r="CD7" s="7">
        <v>2.8580000000000001</v>
      </c>
      <c r="CE7" s="35">
        <v>3.0779999999999998</v>
      </c>
      <c r="CF7" s="7">
        <v>2.714</v>
      </c>
      <c r="CG7" s="7">
        <v>1.835</v>
      </c>
      <c r="CH7" s="16">
        <v>4.2080000000000002</v>
      </c>
      <c r="CI7" s="7">
        <v>3.5169999999999999</v>
      </c>
      <c r="CL7" s="7">
        <v>2.1859999999999999</v>
      </c>
      <c r="CM7" s="35">
        <v>1.9510000000000001</v>
      </c>
      <c r="CN7" s="7">
        <v>2.1110000000000002</v>
      </c>
      <c r="CO7" s="7">
        <v>1.5680000000000001</v>
      </c>
      <c r="CP7" s="16">
        <v>2.238</v>
      </c>
      <c r="CQ7" s="7">
        <v>2.2400000000000002</v>
      </c>
      <c r="CT7" s="7">
        <v>35</v>
      </c>
      <c r="CU7" s="35">
        <v>30</v>
      </c>
      <c r="CV7" s="7">
        <v>48</v>
      </c>
      <c r="CW7" s="7">
        <v>27</v>
      </c>
      <c r="CX7" s="16">
        <v>41</v>
      </c>
      <c r="CY7" s="7">
        <v>24</v>
      </c>
      <c r="DB7" s="7">
        <v>0.158</v>
      </c>
      <c r="DC7" s="35">
        <v>0.309</v>
      </c>
      <c r="DD7" s="7">
        <v>0.14799999999999999</v>
      </c>
      <c r="DE7" s="7">
        <v>8.7999999999999995E-2</v>
      </c>
      <c r="DF7" s="16">
        <v>0.44600000000000001</v>
      </c>
      <c r="DG7" s="7">
        <v>0.27900000000000003</v>
      </c>
      <c r="DJ7" s="7">
        <v>448</v>
      </c>
      <c r="DK7" s="35">
        <v>206</v>
      </c>
      <c r="DL7" s="7">
        <v>643</v>
      </c>
      <c r="DM7" s="7">
        <v>589</v>
      </c>
      <c r="DN7" s="16">
        <v>211</v>
      </c>
      <c r="DO7" s="7">
        <v>184</v>
      </c>
      <c r="DR7" s="7">
        <v>2.0270000000000001</v>
      </c>
      <c r="DS7" s="35">
        <v>2.1240000000000001</v>
      </c>
      <c r="DT7" s="7">
        <v>1.978</v>
      </c>
      <c r="DU7" s="7">
        <v>1.925</v>
      </c>
      <c r="DV7" s="16">
        <v>2.2930000000000001</v>
      </c>
      <c r="DW7" s="7">
        <v>2.14</v>
      </c>
      <c r="DZ7" s="7">
        <v>0.502</v>
      </c>
      <c r="EA7" s="35">
        <v>0.46300000000000002</v>
      </c>
      <c r="EB7" s="7">
        <v>0.45700000000000002</v>
      </c>
      <c r="EC7" s="7">
        <v>0.443</v>
      </c>
      <c r="ED7" s="16">
        <v>0.48</v>
      </c>
      <c r="EE7" s="7">
        <v>0.501</v>
      </c>
    </row>
    <row r="8" spans="2:135" s="10" customFormat="1" x14ac:dyDescent="0.25">
      <c r="B8" s="10">
        <v>67</v>
      </c>
      <c r="C8" s="17">
        <v>112</v>
      </c>
      <c r="D8" s="10">
        <v>84</v>
      </c>
      <c r="E8" s="10">
        <v>230</v>
      </c>
      <c r="F8" s="10">
        <v>238</v>
      </c>
      <c r="G8" s="10">
        <v>144</v>
      </c>
      <c r="J8" s="10">
        <v>93.676000000000002</v>
      </c>
      <c r="K8" s="17">
        <v>156.84299999999999</v>
      </c>
      <c r="L8" s="10">
        <v>205.256</v>
      </c>
      <c r="M8" s="10">
        <v>471.99599999999998</v>
      </c>
      <c r="N8" s="10">
        <v>484.137</v>
      </c>
      <c r="O8" s="10">
        <v>223.68</v>
      </c>
      <c r="R8" s="10">
        <v>1.3979999999999999</v>
      </c>
      <c r="S8" s="17">
        <v>1.4</v>
      </c>
      <c r="T8" s="10">
        <v>2.444</v>
      </c>
      <c r="U8" s="10">
        <v>2.052</v>
      </c>
      <c r="V8" s="10">
        <v>2.0339999999999998</v>
      </c>
      <c r="W8" s="10">
        <v>1.5529999999999999</v>
      </c>
      <c r="Z8" s="10">
        <v>439.745</v>
      </c>
      <c r="AA8" s="17">
        <v>800.06399999999996</v>
      </c>
      <c r="AB8" s="10">
        <v>956.70600000000002</v>
      </c>
      <c r="AC8" s="10">
        <v>2233.8200000000002</v>
      </c>
      <c r="AD8" s="10">
        <v>2325.3989999999999</v>
      </c>
      <c r="AE8" s="10">
        <v>1074.3969999999999</v>
      </c>
      <c r="AH8" s="10">
        <v>6.5629999999999997</v>
      </c>
      <c r="AI8" s="17">
        <v>7.1429999999999998</v>
      </c>
      <c r="AJ8" s="10">
        <v>11.388999999999999</v>
      </c>
      <c r="AK8" s="10">
        <v>9.7119999999999997</v>
      </c>
      <c r="AL8" s="10">
        <v>9.7710000000000008</v>
      </c>
      <c r="AM8" s="10">
        <v>7.4610000000000003</v>
      </c>
      <c r="AP8" s="10">
        <v>3.05</v>
      </c>
      <c r="AQ8" s="17">
        <v>3.78</v>
      </c>
      <c r="AR8" s="10">
        <v>3.7949999999999999</v>
      </c>
      <c r="AS8" s="10">
        <v>4.1609999999999996</v>
      </c>
      <c r="AT8" s="10">
        <v>3.49</v>
      </c>
      <c r="AU8" s="10">
        <v>2.8140000000000001</v>
      </c>
      <c r="AX8" s="10">
        <v>2.5449999999999999</v>
      </c>
      <c r="AY8" s="17">
        <v>3.012</v>
      </c>
      <c r="AZ8" s="10">
        <v>4.3680000000000003</v>
      </c>
      <c r="BA8" s="10">
        <v>3.7519999999999998</v>
      </c>
      <c r="BB8" s="10">
        <v>3.8769999999999998</v>
      </c>
      <c r="BC8" s="10">
        <v>2.9630000000000001</v>
      </c>
      <c r="BF8" s="10">
        <v>99</v>
      </c>
      <c r="BG8" s="17">
        <v>149</v>
      </c>
      <c r="BH8" s="10">
        <v>160</v>
      </c>
      <c r="BI8" s="10">
        <v>347</v>
      </c>
      <c r="BJ8" s="10">
        <v>416</v>
      </c>
      <c r="BK8" s="10">
        <v>253</v>
      </c>
      <c r="BN8" s="10">
        <v>1.478</v>
      </c>
      <c r="BO8" s="17">
        <v>1.33</v>
      </c>
      <c r="BP8" s="10">
        <v>1.905</v>
      </c>
      <c r="BQ8" s="10">
        <v>1.5089999999999999</v>
      </c>
      <c r="BR8" s="10">
        <v>1.748</v>
      </c>
      <c r="BS8" s="10">
        <v>1.7569999999999999</v>
      </c>
      <c r="BV8" s="10">
        <v>160.63200000000001</v>
      </c>
      <c r="BW8" s="17">
        <v>306.82400000000001</v>
      </c>
      <c r="BX8" s="10">
        <v>429.60300000000001</v>
      </c>
      <c r="BY8" s="10">
        <v>915.43799999999999</v>
      </c>
      <c r="BZ8" s="10">
        <v>993.928</v>
      </c>
      <c r="CA8" s="10">
        <v>410.02100000000002</v>
      </c>
      <c r="CD8" s="10">
        <v>2.3969999999999998</v>
      </c>
      <c r="CE8" s="17">
        <v>2.7389999999999999</v>
      </c>
      <c r="CF8" s="10">
        <v>5.1139999999999999</v>
      </c>
      <c r="CG8" s="10">
        <v>3.98</v>
      </c>
      <c r="CH8" s="10">
        <v>4.1760000000000002</v>
      </c>
      <c r="CI8" s="10">
        <v>2.847</v>
      </c>
      <c r="CL8" s="10">
        <v>1.623</v>
      </c>
      <c r="CM8" s="17">
        <v>2.0590000000000002</v>
      </c>
      <c r="CN8" s="10">
        <v>2.6850000000000001</v>
      </c>
      <c r="CO8" s="10">
        <v>2.6379999999999999</v>
      </c>
      <c r="CP8" s="10">
        <v>2.3889999999999998</v>
      </c>
      <c r="CQ8" s="10">
        <v>1.621</v>
      </c>
      <c r="CT8" s="10">
        <v>17</v>
      </c>
      <c r="CU8" s="17">
        <v>19</v>
      </c>
      <c r="CV8" s="10">
        <v>40</v>
      </c>
      <c r="CW8" s="10">
        <v>59</v>
      </c>
      <c r="CX8" s="10">
        <v>92</v>
      </c>
      <c r="CY8" s="10">
        <v>55</v>
      </c>
      <c r="DB8" s="10">
        <v>0.254</v>
      </c>
      <c r="DC8" s="17">
        <v>0.17</v>
      </c>
      <c r="DD8" s="10">
        <v>0.47599999999999998</v>
      </c>
      <c r="DE8" s="10">
        <v>0.25700000000000001</v>
      </c>
      <c r="DF8" s="10">
        <v>0.38700000000000001</v>
      </c>
      <c r="DG8" s="10">
        <v>0.38200000000000001</v>
      </c>
      <c r="DJ8" s="10">
        <v>138</v>
      </c>
      <c r="DK8" s="17">
        <v>232</v>
      </c>
      <c r="DL8" s="10">
        <v>189</v>
      </c>
      <c r="DM8" s="10">
        <v>494</v>
      </c>
      <c r="DN8" s="10">
        <v>518</v>
      </c>
      <c r="DO8" s="10">
        <v>322</v>
      </c>
      <c r="DR8" s="10">
        <v>2.06</v>
      </c>
      <c r="DS8" s="17">
        <v>2.0710000000000002</v>
      </c>
      <c r="DT8" s="10">
        <v>2.25</v>
      </c>
      <c r="DU8" s="10">
        <v>2.1480000000000001</v>
      </c>
      <c r="DV8" s="10">
        <v>2.1760000000000002</v>
      </c>
      <c r="DW8" s="10">
        <v>2.2360000000000002</v>
      </c>
      <c r="DZ8" s="10">
        <v>0.495</v>
      </c>
      <c r="EA8" s="17">
        <v>0.46400000000000002</v>
      </c>
      <c r="EB8" s="10">
        <v>0.48099999999999998</v>
      </c>
      <c r="EC8" s="10">
        <v>0.48699999999999999</v>
      </c>
      <c r="ED8" s="10">
        <v>0.47699999999999998</v>
      </c>
      <c r="EE8" s="10">
        <v>0.48299999999999998</v>
      </c>
    </row>
    <row r="9" spans="2:135" s="10" customFormat="1" x14ac:dyDescent="0.25">
      <c r="B9" s="10">
        <v>69</v>
      </c>
      <c r="C9" s="17">
        <v>70</v>
      </c>
      <c r="D9" s="10">
        <v>315</v>
      </c>
      <c r="E9" s="10">
        <v>318</v>
      </c>
      <c r="G9" s="10">
        <v>196</v>
      </c>
      <c r="J9" s="10">
        <v>133.863</v>
      </c>
      <c r="K9" s="17">
        <v>194.79</v>
      </c>
      <c r="L9" s="10">
        <v>725.19600000000003</v>
      </c>
      <c r="M9" s="10">
        <v>585.34500000000003</v>
      </c>
      <c r="O9" s="10">
        <v>671.87</v>
      </c>
      <c r="R9" s="10">
        <v>1.94</v>
      </c>
      <c r="S9" s="17">
        <v>2.7829999999999999</v>
      </c>
      <c r="T9" s="10">
        <v>2.302</v>
      </c>
      <c r="U9" s="10">
        <v>1.841</v>
      </c>
      <c r="W9" s="10">
        <v>3.4279999999999999</v>
      </c>
      <c r="Z9" s="10">
        <v>587.66499999999996</v>
      </c>
      <c r="AA9" s="17">
        <v>917.024</v>
      </c>
      <c r="AB9" s="10">
        <v>3443.6109999999999</v>
      </c>
      <c r="AC9" s="10">
        <v>2840.84</v>
      </c>
      <c r="AE9" s="10">
        <v>2879.404</v>
      </c>
      <c r="AH9" s="10">
        <v>8.5169999999999995</v>
      </c>
      <c r="AI9" s="17">
        <v>13.1</v>
      </c>
      <c r="AJ9" s="10">
        <v>10.932</v>
      </c>
      <c r="AK9" s="10">
        <v>8.9329999999999998</v>
      </c>
      <c r="AM9" s="10">
        <v>14.691000000000001</v>
      </c>
      <c r="AP9" s="10">
        <v>3.1469999999999998</v>
      </c>
      <c r="AQ9" s="17">
        <v>4.1369999999999996</v>
      </c>
      <c r="AR9" s="10">
        <v>3.4249999999999998</v>
      </c>
      <c r="AS9" s="10">
        <v>3.7290000000000001</v>
      </c>
      <c r="AU9" s="10">
        <v>3.8359999999999999</v>
      </c>
      <c r="AX9" s="10">
        <v>3.0750000000000002</v>
      </c>
      <c r="AY9" s="17">
        <v>5.0609999999999999</v>
      </c>
      <c r="AZ9" s="10">
        <v>4.2320000000000002</v>
      </c>
      <c r="BA9" s="10">
        <v>3.5569999999999999</v>
      </c>
      <c r="BC9" s="10">
        <v>5.218</v>
      </c>
      <c r="BF9" s="10">
        <v>116</v>
      </c>
      <c r="BG9" s="17">
        <v>133</v>
      </c>
      <c r="BH9" s="10">
        <v>559</v>
      </c>
      <c r="BI9" s="10">
        <v>535</v>
      </c>
      <c r="BK9" s="10">
        <v>485</v>
      </c>
      <c r="BN9" s="10">
        <v>1.681</v>
      </c>
      <c r="BO9" s="17">
        <v>1.9</v>
      </c>
      <c r="BP9" s="10">
        <v>1.7749999999999999</v>
      </c>
      <c r="BQ9" s="10">
        <v>1.6819999999999999</v>
      </c>
      <c r="BS9" s="10">
        <v>2.4740000000000002</v>
      </c>
      <c r="BV9" s="10">
        <v>224.297</v>
      </c>
      <c r="BW9" s="17">
        <v>414.73500000000001</v>
      </c>
      <c r="BX9" s="10">
        <v>1458.6420000000001</v>
      </c>
      <c r="BY9" s="10">
        <v>1162.6949999999999</v>
      </c>
      <c r="CA9" s="10">
        <v>1393.674</v>
      </c>
      <c r="CD9" s="10">
        <v>3.2509999999999999</v>
      </c>
      <c r="CE9" s="17">
        <v>5.9249999999999998</v>
      </c>
      <c r="CF9" s="10">
        <v>4.6310000000000002</v>
      </c>
      <c r="CG9" s="10">
        <v>3.6560000000000001</v>
      </c>
      <c r="CI9" s="10">
        <v>7.1109999999999998</v>
      </c>
      <c r="CL9" s="10">
        <v>1.9339999999999999</v>
      </c>
      <c r="CM9" s="17">
        <v>3.1179999999999999</v>
      </c>
      <c r="CN9" s="10">
        <v>2.609</v>
      </c>
      <c r="CO9" s="10">
        <v>2.173</v>
      </c>
      <c r="CQ9" s="10">
        <v>2.8740000000000001</v>
      </c>
      <c r="CT9" s="10">
        <v>24</v>
      </c>
      <c r="CU9" s="17">
        <v>33</v>
      </c>
      <c r="CV9" s="10">
        <v>126</v>
      </c>
      <c r="CW9" s="10">
        <v>111</v>
      </c>
      <c r="CY9" s="10">
        <v>150</v>
      </c>
      <c r="DB9" s="10">
        <v>0.34799999999999998</v>
      </c>
      <c r="DC9" s="17">
        <v>0.47099999999999997</v>
      </c>
      <c r="DD9" s="10">
        <v>0.4</v>
      </c>
      <c r="DE9" s="10">
        <v>0.34899999999999998</v>
      </c>
      <c r="DG9" s="10">
        <v>0.76500000000000001</v>
      </c>
      <c r="DJ9" s="10">
        <v>150</v>
      </c>
      <c r="DK9" s="17">
        <v>152</v>
      </c>
      <c r="DL9" s="10">
        <v>700</v>
      </c>
      <c r="DM9" s="10">
        <v>707</v>
      </c>
      <c r="DO9" s="10">
        <v>495</v>
      </c>
      <c r="DR9" s="10">
        <v>2.1739999999999999</v>
      </c>
      <c r="DS9" s="17">
        <v>2.1709999999999998</v>
      </c>
      <c r="DT9" s="10">
        <v>2.222</v>
      </c>
      <c r="DU9" s="10">
        <v>2.2229999999999999</v>
      </c>
      <c r="DW9" s="10">
        <v>2.5259999999999998</v>
      </c>
      <c r="DZ9" s="10">
        <v>0.51900000000000002</v>
      </c>
      <c r="EA9" s="17">
        <v>0.47799999999999998</v>
      </c>
      <c r="EB9" s="10">
        <v>0.47399999999999998</v>
      </c>
      <c r="EC9" s="10">
        <v>0.47899999999999998</v>
      </c>
      <c r="EE9" s="10">
        <v>0.49</v>
      </c>
    </row>
    <row r="10" spans="2:135" s="10" customFormat="1" x14ac:dyDescent="0.25">
      <c r="B10" s="10">
        <v>230</v>
      </c>
      <c r="C10" s="17">
        <v>240</v>
      </c>
      <c r="D10" s="10">
        <v>203</v>
      </c>
      <c r="E10" s="10">
        <v>274</v>
      </c>
      <c r="F10" s="10">
        <v>552</v>
      </c>
      <c r="G10" s="10">
        <v>69</v>
      </c>
      <c r="J10" s="10">
        <v>254.59</v>
      </c>
      <c r="K10" s="17">
        <v>421.37799999999999</v>
      </c>
      <c r="L10" s="10">
        <v>417.21899999999999</v>
      </c>
      <c r="M10" s="10">
        <v>595.10400000000004</v>
      </c>
      <c r="N10" s="10">
        <v>890.18799999999999</v>
      </c>
      <c r="O10" s="10">
        <v>190.23400000000001</v>
      </c>
      <c r="R10" s="10">
        <v>1.107</v>
      </c>
      <c r="S10" s="17">
        <v>1.756</v>
      </c>
      <c r="T10" s="10">
        <v>2.0550000000000002</v>
      </c>
      <c r="U10" s="10">
        <v>2.1720000000000002</v>
      </c>
      <c r="V10" s="10">
        <v>1.613</v>
      </c>
      <c r="W10" s="10">
        <v>2.7570000000000001</v>
      </c>
      <c r="Z10" s="10">
        <v>1255.404</v>
      </c>
      <c r="AA10" s="17">
        <v>2156.8409999999999</v>
      </c>
      <c r="AB10" s="10">
        <v>1904.124</v>
      </c>
      <c r="AC10" s="10">
        <v>2747.6439999999998</v>
      </c>
      <c r="AD10" s="10">
        <v>4609.2039999999997</v>
      </c>
      <c r="AE10" s="10">
        <v>793.95799999999997</v>
      </c>
      <c r="AH10" s="10">
        <v>5.4580000000000002</v>
      </c>
      <c r="AI10" s="17">
        <v>8.9870000000000001</v>
      </c>
      <c r="AJ10" s="10">
        <v>9.3800000000000008</v>
      </c>
      <c r="AK10" s="10">
        <v>10.028</v>
      </c>
      <c r="AL10" s="10">
        <v>8.35</v>
      </c>
      <c r="AM10" s="10">
        <v>11.507</v>
      </c>
      <c r="AP10" s="10">
        <v>2.895</v>
      </c>
      <c r="AQ10" s="17">
        <v>4.46</v>
      </c>
      <c r="AR10" s="10">
        <v>2.7</v>
      </c>
      <c r="AS10" s="10">
        <v>3.08</v>
      </c>
      <c r="AT10" s="10">
        <v>3.149</v>
      </c>
      <c r="AU10" s="10">
        <v>3.0579999999999998</v>
      </c>
      <c r="AX10" s="10">
        <v>2.23</v>
      </c>
      <c r="AY10" s="17">
        <v>3.7559999999999998</v>
      </c>
      <c r="AZ10" s="10">
        <v>3.524</v>
      </c>
      <c r="BA10" s="10">
        <v>3.8079999999999998</v>
      </c>
      <c r="BB10" s="10">
        <v>3.5659999999999998</v>
      </c>
      <c r="BC10" s="10">
        <v>4.0110000000000001</v>
      </c>
      <c r="BF10" s="10">
        <v>275</v>
      </c>
      <c r="BG10" s="17">
        <v>333</v>
      </c>
      <c r="BH10" s="10">
        <v>392</v>
      </c>
      <c r="BI10" s="10">
        <v>469</v>
      </c>
      <c r="BJ10" s="10">
        <v>864</v>
      </c>
      <c r="BK10" s="10">
        <v>147</v>
      </c>
      <c r="BN10" s="10">
        <v>1.196</v>
      </c>
      <c r="BO10" s="17">
        <v>1.387</v>
      </c>
      <c r="BP10" s="10">
        <v>1.931</v>
      </c>
      <c r="BQ10" s="10">
        <v>1.712</v>
      </c>
      <c r="BR10" s="10">
        <v>1.5649999999999999</v>
      </c>
      <c r="BS10" s="10">
        <v>2.13</v>
      </c>
      <c r="BV10" s="10">
        <v>423.524</v>
      </c>
      <c r="BW10" s="17">
        <v>895.33100000000002</v>
      </c>
      <c r="BX10" s="10">
        <v>785.68499999999995</v>
      </c>
      <c r="BY10" s="10">
        <v>1158.7180000000001</v>
      </c>
      <c r="BZ10" s="10">
        <v>1901.1559999999999</v>
      </c>
      <c r="CA10" s="10">
        <v>365.07299999999998</v>
      </c>
      <c r="CD10" s="10">
        <v>1.841</v>
      </c>
      <c r="CE10" s="17">
        <v>3.7309999999999999</v>
      </c>
      <c r="CF10" s="10">
        <v>3.87</v>
      </c>
      <c r="CG10" s="10">
        <v>4.2290000000000001</v>
      </c>
      <c r="CH10" s="10">
        <v>3.444</v>
      </c>
      <c r="CI10" s="10">
        <v>5.2910000000000004</v>
      </c>
      <c r="CL10" s="10">
        <v>1.54</v>
      </c>
      <c r="CM10" s="17">
        <v>2.6890000000000001</v>
      </c>
      <c r="CN10" s="10">
        <v>2.004</v>
      </c>
      <c r="CO10" s="10">
        <v>2.4710000000000001</v>
      </c>
      <c r="CP10" s="10">
        <v>2.2000000000000002</v>
      </c>
      <c r="CQ10" s="10">
        <v>2.4830000000000001</v>
      </c>
      <c r="CT10" s="10">
        <v>22</v>
      </c>
      <c r="CU10" s="17">
        <v>47</v>
      </c>
      <c r="CV10" s="10">
        <v>96</v>
      </c>
      <c r="CW10" s="10">
        <v>101</v>
      </c>
      <c r="CX10" s="10">
        <v>157</v>
      </c>
      <c r="CY10" s="10">
        <v>41</v>
      </c>
      <c r="DB10" s="10">
        <v>9.6000000000000002E-2</v>
      </c>
      <c r="DC10" s="17">
        <v>0.19600000000000001</v>
      </c>
      <c r="DD10" s="10">
        <v>0.47299999999999998</v>
      </c>
      <c r="DE10" s="10">
        <v>0.36899999999999999</v>
      </c>
      <c r="DF10" s="10">
        <v>0.28399999999999997</v>
      </c>
      <c r="DG10" s="10">
        <v>0.59399999999999997</v>
      </c>
      <c r="DJ10" s="10">
        <v>464</v>
      </c>
      <c r="DK10" s="17">
        <v>501</v>
      </c>
      <c r="DL10" s="10">
        <v>467</v>
      </c>
      <c r="DM10" s="10">
        <v>603</v>
      </c>
      <c r="DN10" s="10">
        <v>1184</v>
      </c>
      <c r="DO10" s="10">
        <v>161</v>
      </c>
      <c r="DR10" s="10">
        <v>2.0169999999999999</v>
      </c>
      <c r="DS10" s="17">
        <v>2.0870000000000002</v>
      </c>
      <c r="DT10" s="10">
        <v>2.2999999999999998</v>
      </c>
      <c r="DU10" s="10">
        <v>2.2010000000000001</v>
      </c>
      <c r="DV10" s="10">
        <v>2.145</v>
      </c>
      <c r="DW10" s="10">
        <v>2.3330000000000002</v>
      </c>
      <c r="DZ10" s="10">
        <v>0.48699999999999999</v>
      </c>
      <c r="EA10" s="17">
        <v>0.46</v>
      </c>
      <c r="EB10" s="10">
        <v>0.49399999999999999</v>
      </c>
      <c r="EC10" s="10">
        <v>0.48799999999999999</v>
      </c>
      <c r="ED10" s="10">
        <v>0.45100000000000001</v>
      </c>
      <c r="EE10" s="10">
        <v>0.5</v>
      </c>
    </row>
    <row r="11" spans="2:135" s="10" customFormat="1" x14ac:dyDescent="0.25">
      <c r="B11" s="10">
        <v>130</v>
      </c>
      <c r="C11" s="17">
        <v>102</v>
      </c>
      <c r="D11" s="10">
        <v>257</v>
      </c>
      <c r="E11" s="10">
        <v>138</v>
      </c>
      <c r="F11" s="10">
        <v>552</v>
      </c>
      <c r="G11" s="10">
        <v>111</v>
      </c>
      <c r="J11" s="10">
        <v>214.048</v>
      </c>
      <c r="K11" s="17">
        <v>181.53800000000001</v>
      </c>
      <c r="L11" s="10">
        <v>439.55900000000003</v>
      </c>
      <c r="M11" s="10">
        <v>362.17</v>
      </c>
      <c r="N11" s="10">
        <v>665.94100000000003</v>
      </c>
      <c r="O11" s="10">
        <v>227.23099999999999</v>
      </c>
      <c r="R11" s="10">
        <v>1.647</v>
      </c>
      <c r="S11" s="17">
        <v>1.78</v>
      </c>
      <c r="T11" s="10">
        <v>1.71</v>
      </c>
      <c r="U11" s="10">
        <v>2.6240000000000001</v>
      </c>
      <c r="V11" s="10">
        <v>1.206</v>
      </c>
      <c r="W11" s="10">
        <v>2.0470000000000002</v>
      </c>
      <c r="Z11" s="10">
        <v>946.77200000000005</v>
      </c>
      <c r="AA11" s="17">
        <v>874.98500000000001</v>
      </c>
      <c r="AB11" s="10">
        <v>2152.3890000000001</v>
      </c>
      <c r="AC11" s="10">
        <v>1675.5070000000001</v>
      </c>
      <c r="AD11" s="10">
        <v>3541.6489999999999</v>
      </c>
      <c r="AE11" s="10">
        <v>1072.1980000000001</v>
      </c>
      <c r="AH11" s="10">
        <v>7.2830000000000004</v>
      </c>
      <c r="AI11" s="17">
        <v>8.5779999999999994</v>
      </c>
      <c r="AJ11" s="10">
        <v>8.375</v>
      </c>
      <c r="AK11" s="10">
        <v>12.141</v>
      </c>
      <c r="AL11" s="10">
        <v>6.4160000000000004</v>
      </c>
      <c r="AM11" s="10">
        <v>9.6590000000000007</v>
      </c>
      <c r="AP11" s="10">
        <v>2.9609999999999999</v>
      </c>
      <c r="AQ11" s="17">
        <v>2.7330000000000001</v>
      </c>
      <c r="AR11" s="10">
        <v>2.9319999999999999</v>
      </c>
      <c r="AS11" s="10">
        <v>3.7210000000000001</v>
      </c>
      <c r="AT11" s="10">
        <v>2.8069999999999999</v>
      </c>
      <c r="AU11" s="10">
        <v>2.552</v>
      </c>
      <c r="AX11" s="10">
        <v>2.6579999999999999</v>
      </c>
      <c r="AY11" s="17">
        <v>3.411</v>
      </c>
      <c r="AZ11" s="10">
        <v>3.363</v>
      </c>
      <c r="BA11" s="10">
        <v>4.5730000000000004</v>
      </c>
      <c r="BB11" s="10">
        <v>2.831</v>
      </c>
      <c r="BC11" s="10">
        <v>3.726</v>
      </c>
      <c r="BF11" s="10">
        <v>183</v>
      </c>
      <c r="BG11" s="17">
        <v>173</v>
      </c>
      <c r="BH11" s="10">
        <v>428</v>
      </c>
      <c r="BI11" s="10">
        <v>254</v>
      </c>
      <c r="BJ11" s="10">
        <v>804</v>
      </c>
      <c r="BK11" s="10">
        <v>237</v>
      </c>
      <c r="BN11" s="10">
        <v>1.4079999999999999</v>
      </c>
      <c r="BO11" s="17">
        <v>1.696</v>
      </c>
      <c r="BP11" s="10">
        <v>1.665</v>
      </c>
      <c r="BQ11" s="10">
        <v>1.841</v>
      </c>
      <c r="BR11" s="10">
        <v>1.4570000000000001</v>
      </c>
      <c r="BS11" s="10">
        <v>2.1349999999999998</v>
      </c>
      <c r="BV11" s="10">
        <v>358.31599999999997</v>
      </c>
      <c r="BW11" s="17">
        <v>350.36099999999999</v>
      </c>
      <c r="BX11" s="10">
        <v>861.49199999999996</v>
      </c>
      <c r="BY11" s="10">
        <v>721.22799999999995</v>
      </c>
      <c r="BZ11" s="10">
        <v>1356.5540000000001</v>
      </c>
      <c r="CA11" s="10">
        <v>443.21</v>
      </c>
      <c r="CD11" s="10">
        <v>2.7559999999999998</v>
      </c>
      <c r="CE11" s="17">
        <v>3.4350000000000001</v>
      </c>
      <c r="CF11" s="10">
        <v>3.3519999999999999</v>
      </c>
      <c r="CG11" s="10">
        <v>5.226</v>
      </c>
      <c r="CH11" s="10">
        <v>2.4580000000000002</v>
      </c>
      <c r="CI11" s="10">
        <v>3.9929999999999999</v>
      </c>
      <c r="CL11" s="10">
        <v>1.958</v>
      </c>
      <c r="CM11" s="17">
        <v>2.0249999999999999</v>
      </c>
      <c r="CN11" s="10">
        <v>2.0129999999999999</v>
      </c>
      <c r="CO11" s="10">
        <v>2.839</v>
      </c>
      <c r="CP11" s="10">
        <v>1.6870000000000001</v>
      </c>
      <c r="CQ11" s="10">
        <v>1.87</v>
      </c>
      <c r="CT11" s="10">
        <v>27</v>
      </c>
      <c r="CU11" s="17">
        <v>36</v>
      </c>
      <c r="CV11" s="10">
        <v>87</v>
      </c>
      <c r="CW11" s="10">
        <v>59</v>
      </c>
      <c r="CX11" s="10">
        <v>130</v>
      </c>
      <c r="CY11" s="10">
        <v>63</v>
      </c>
      <c r="DB11" s="10">
        <v>0.20799999999999999</v>
      </c>
      <c r="DC11" s="17">
        <v>0.35299999999999998</v>
      </c>
      <c r="DD11" s="10">
        <v>0.33900000000000002</v>
      </c>
      <c r="DE11" s="10">
        <v>0.42799999999999999</v>
      </c>
      <c r="DF11" s="10">
        <v>0.23599999999999999</v>
      </c>
      <c r="DG11" s="10">
        <v>0.56799999999999995</v>
      </c>
      <c r="DJ11" s="10">
        <v>275</v>
      </c>
      <c r="DK11" s="17">
        <v>219</v>
      </c>
      <c r="DL11" s="10">
        <v>572</v>
      </c>
      <c r="DM11" s="10">
        <v>318</v>
      </c>
      <c r="DN11" s="10">
        <v>1151</v>
      </c>
      <c r="DO11" s="10">
        <v>272</v>
      </c>
      <c r="DR11" s="10">
        <v>2.1150000000000002</v>
      </c>
      <c r="DS11" s="17">
        <v>2.1469999999999998</v>
      </c>
      <c r="DT11" s="10">
        <v>2.226</v>
      </c>
      <c r="DU11" s="10">
        <v>2.3039999999999998</v>
      </c>
      <c r="DV11" s="10">
        <v>2.085</v>
      </c>
      <c r="DW11" s="10">
        <v>2.4500000000000002</v>
      </c>
      <c r="DZ11" s="10">
        <v>0.52800000000000002</v>
      </c>
      <c r="EA11" s="17">
        <v>0.47899999999999998</v>
      </c>
      <c r="EB11" s="10">
        <v>0.47099999999999997</v>
      </c>
      <c r="EC11" s="10">
        <v>0.49099999999999999</v>
      </c>
      <c r="ED11" s="10">
        <v>0.44600000000000001</v>
      </c>
      <c r="EE11" s="10">
        <v>0.48499999999999999</v>
      </c>
    </row>
    <row r="12" spans="2:135" s="10" customFormat="1" x14ac:dyDescent="0.25">
      <c r="B12" s="10">
        <v>173</v>
      </c>
      <c r="C12" s="17">
        <v>164</v>
      </c>
      <c r="D12" s="10">
        <v>107</v>
      </c>
      <c r="E12" s="10">
        <v>307</v>
      </c>
      <c r="F12" s="10">
        <v>363</v>
      </c>
      <c r="G12" s="10">
        <v>132</v>
      </c>
      <c r="J12" s="10">
        <v>278.02300000000002</v>
      </c>
      <c r="K12" s="17">
        <v>285.66300000000001</v>
      </c>
      <c r="L12" s="10">
        <v>404.63600000000002</v>
      </c>
      <c r="M12" s="10">
        <v>638.54100000000005</v>
      </c>
      <c r="N12" s="10">
        <v>549.06799999999998</v>
      </c>
      <c r="O12" s="10">
        <v>258.24099999999999</v>
      </c>
      <c r="R12" s="10">
        <v>1.607</v>
      </c>
      <c r="S12" s="17">
        <v>1.742</v>
      </c>
      <c r="T12" s="10">
        <v>3.782</v>
      </c>
      <c r="U12" s="10">
        <v>2.08</v>
      </c>
      <c r="V12" s="10">
        <v>1.5129999999999999</v>
      </c>
      <c r="W12" s="10">
        <v>1.956</v>
      </c>
      <c r="Z12" s="10">
        <v>1240.53</v>
      </c>
      <c r="AA12" s="17">
        <v>1361.691</v>
      </c>
      <c r="AB12" s="10">
        <v>1703.26</v>
      </c>
      <c r="AC12" s="10">
        <v>2984.8139999999999</v>
      </c>
      <c r="AD12" s="10">
        <v>2838.8780000000002</v>
      </c>
      <c r="AE12" s="10">
        <v>1236.412</v>
      </c>
      <c r="AH12" s="10">
        <v>7.1710000000000003</v>
      </c>
      <c r="AI12" s="17">
        <v>8.3030000000000008</v>
      </c>
      <c r="AJ12" s="10">
        <v>15.917999999999999</v>
      </c>
      <c r="AK12" s="10">
        <v>9.7230000000000008</v>
      </c>
      <c r="AL12" s="10">
        <v>7.8209999999999997</v>
      </c>
      <c r="AM12" s="10">
        <v>9.3670000000000009</v>
      </c>
      <c r="AP12" s="10">
        <v>2.9129999999999998</v>
      </c>
      <c r="AQ12" s="17">
        <v>2.831</v>
      </c>
      <c r="AR12" s="10">
        <v>3.9319999999999999</v>
      </c>
      <c r="AS12" s="10">
        <v>3.1280000000000001</v>
      </c>
      <c r="AT12" s="10">
        <v>3.42</v>
      </c>
      <c r="AU12" s="10">
        <v>3.3580000000000001</v>
      </c>
      <c r="AX12" s="10">
        <v>2.6459999999999999</v>
      </c>
      <c r="AY12" s="17">
        <v>3.2749999999999999</v>
      </c>
      <c r="AZ12" s="10">
        <v>5.4850000000000003</v>
      </c>
      <c r="BA12" s="10">
        <v>3.7389999999999999</v>
      </c>
      <c r="BB12" s="10">
        <v>3.367</v>
      </c>
      <c r="BC12" s="10">
        <v>3.6819999999999999</v>
      </c>
      <c r="BF12" s="10">
        <v>270</v>
      </c>
      <c r="BG12" s="17">
        <v>282</v>
      </c>
      <c r="BH12" s="10">
        <v>278</v>
      </c>
      <c r="BI12" s="10">
        <v>596</v>
      </c>
      <c r="BJ12" s="10">
        <v>548</v>
      </c>
      <c r="BK12" s="10">
        <v>211</v>
      </c>
      <c r="BN12" s="10">
        <v>1.5609999999999999</v>
      </c>
      <c r="BO12" s="17">
        <v>1.72</v>
      </c>
      <c r="BP12" s="10">
        <v>2.5979999999999999</v>
      </c>
      <c r="BQ12" s="10">
        <v>1.9410000000000001</v>
      </c>
      <c r="BR12" s="10">
        <v>1.51</v>
      </c>
      <c r="BS12" s="10">
        <v>1.5980000000000001</v>
      </c>
      <c r="BV12" s="10">
        <v>459.363</v>
      </c>
      <c r="BW12" s="17">
        <v>536.55100000000004</v>
      </c>
      <c r="BX12" s="10">
        <v>821.09199999999998</v>
      </c>
      <c r="BY12" s="10">
        <v>1261.585</v>
      </c>
      <c r="BZ12" s="10">
        <v>1181.4880000000001</v>
      </c>
      <c r="CA12" s="10">
        <v>504.75099999999998</v>
      </c>
      <c r="CD12" s="10">
        <v>2.6549999999999998</v>
      </c>
      <c r="CE12" s="17">
        <v>3.2719999999999998</v>
      </c>
      <c r="CF12" s="10">
        <v>7.6740000000000004</v>
      </c>
      <c r="CG12" s="10">
        <v>4.109</v>
      </c>
      <c r="CH12" s="10">
        <v>3.2549999999999999</v>
      </c>
      <c r="CI12" s="10">
        <v>3.8239999999999998</v>
      </c>
      <c r="CL12" s="10">
        <v>1.7010000000000001</v>
      </c>
      <c r="CM12" s="17">
        <v>1.903</v>
      </c>
      <c r="CN12" s="10">
        <v>2.9540000000000002</v>
      </c>
      <c r="CO12" s="10">
        <v>2.117</v>
      </c>
      <c r="CP12" s="10">
        <v>2.1560000000000001</v>
      </c>
      <c r="CQ12" s="10">
        <v>2.3919999999999999</v>
      </c>
      <c r="CT12" s="10">
        <v>49</v>
      </c>
      <c r="CU12" s="17">
        <v>62</v>
      </c>
      <c r="CV12" s="10">
        <v>91</v>
      </c>
      <c r="CW12" s="10">
        <v>147</v>
      </c>
      <c r="CX12" s="10">
        <v>95</v>
      </c>
      <c r="CY12" s="10">
        <v>39</v>
      </c>
      <c r="DB12" s="10">
        <v>0.28299999999999997</v>
      </c>
      <c r="DC12" s="17">
        <v>0.378</v>
      </c>
      <c r="DD12" s="10">
        <v>0.85</v>
      </c>
      <c r="DE12" s="10">
        <v>0.47899999999999998</v>
      </c>
      <c r="DF12" s="10">
        <v>0.26200000000000001</v>
      </c>
      <c r="DG12" s="10">
        <v>0.29499999999999998</v>
      </c>
      <c r="DJ12" s="10">
        <v>369</v>
      </c>
      <c r="DK12" s="17">
        <v>351</v>
      </c>
      <c r="DL12" s="10">
        <v>269</v>
      </c>
      <c r="DM12" s="10">
        <v>715</v>
      </c>
      <c r="DN12" s="10">
        <v>768</v>
      </c>
      <c r="DO12" s="10">
        <v>295</v>
      </c>
      <c r="DR12" s="10">
        <v>2.133</v>
      </c>
      <c r="DS12" s="17">
        <v>2.14</v>
      </c>
      <c r="DT12" s="10">
        <v>2.5139999999999998</v>
      </c>
      <c r="DU12" s="10">
        <v>2.3290000000000002</v>
      </c>
      <c r="DV12" s="10">
        <v>2.1160000000000001</v>
      </c>
      <c r="DW12" s="10">
        <v>2.2349999999999999</v>
      </c>
      <c r="DZ12" s="10">
        <v>0.52200000000000002</v>
      </c>
      <c r="EA12" s="17">
        <v>0.48399999999999999</v>
      </c>
      <c r="EB12" s="10">
        <v>0.496</v>
      </c>
      <c r="EC12" s="10">
        <v>0.48399999999999999</v>
      </c>
      <c r="ED12" s="10">
        <v>0.44600000000000001</v>
      </c>
      <c r="EE12" s="10">
        <v>0.48299999999999998</v>
      </c>
    </row>
    <row r="13" spans="2:135" s="17" customFormat="1" x14ac:dyDescent="0.25">
      <c r="B13" s="17">
        <v>108</v>
      </c>
      <c r="C13" s="17">
        <v>155</v>
      </c>
      <c r="D13" s="10">
        <v>140</v>
      </c>
      <c r="F13" s="10">
        <v>76</v>
      </c>
      <c r="G13" s="10">
        <v>99</v>
      </c>
      <c r="H13" s="10"/>
      <c r="J13" s="17">
        <v>162.018</v>
      </c>
      <c r="K13" s="17">
        <v>434.03899999999999</v>
      </c>
      <c r="L13" s="10">
        <v>413.642</v>
      </c>
      <c r="N13" s="10">
        <v>387.11599999999999</v>
      </c>
      <c r="O13" s="10">
        <v>276.02100000000002</v>
      </c>
      <c r="P13" s="10"/>
      <c r="R13" s="17">
        <v>1.5</v>
      </c>
      <c r="S13" s="17">
        <v>2.8</v>
      </c>
      <c r="T13" s="10">
        <v>2.9550000000000001</v>
      </c>
      <c r="V13" s="10">
        <v>5.0940000000000003</v>
      </c>
      <c r="W13" s="10">
        <v>2.7879999999999998</v>
      </c>
      <c r="X13" s="10"/>
      <c r="Z13" s="17">
        <v>807.97900000000004</v>
      </c>
      <c r="AA13" s="17">
        <v>1814.1379999999999</v>
      </c>
      <c r="AB13" s="10">
        <v>1890.739</v>
      </c>
      <c r="AD13" s="10">
        <v>1467.098</v>
      </c>
      <c r="AE13" s="10">
        <v>1314.4110000000001</v>
      </c>
      <c r="AF13" s="10"/>
      <c r="AH13" s="17">
        <v>7.4809999999999999</v>
      </c>
      <c r="AI13" s="17">
        <v>11.704000000000001</v>
      </c>
      <c r="AJ13" s="10">
        <v>13.505000000000001</v>
      </c>
      <c r="AL13" s="10">
        <v>19.303999999999998</v>
      </c>
      <c r="AM13" s="10">
        <v>13.276999999999999</v>
      </c>
      <c r="AN13" s="10"/>
      <c r="AP13" s="17">
        <v>3.8530000000000002</v>
      </c>
      <c r="AQ13" s="17">
        <v>3.4079999999999999</v>
      </c>
      <c r="AR13" s="10">
        <v>3.694</v>
      </c>
      <c r="AT13" s="10">
        <v>3.4609999999999999</v>
      </c>
      <c r="AU13" s="10">
        <v>2.9630000000000001</v>
      </c>
      <c r="AV13" s="10"/>
      <c r="AX13" s="17">
        <v>3.0659999999999998</v>
      </c>
      <c r="AY13" s="17">
        <v>4.0469999999999997</v>
      </c>
      <c r="AZ13" s="10">
        <v>5.0380000000000003</v>
      </c>
      <c r="BB13" s="10">
        <v>6.0960000000000001</v>
      </c>
      <c r="BC13" s="10">
        <v>5.133</v>
      </c>
      <c r="BD13" s="10"/>
      <c r="BF13" s="17">
        <v>141</v>
      </c>
      <c r="BG13" s="17">
        <v>317</v>
      </c>
      <c r="BH13" s="10">
        <v>334</v>
      </c>
      <c r="BJ13" s="10">
        <v>288</v>
      </c>
      <c r="BK13" s="10">
        <v>238</v>
      </c>
      <c r="BL13" s="10"/>
      <c r="BN13" s="17">
        <v>1.306</v>
      </c>
      <c r="BO13" s="17">
        <v>2.0449999999999999</v>
      </c>
      <c r="BP13" s="10">
        <v>2.3860000000000001</v>
      </c>
      <c r="BR13" s="10">
        <v>3.7890000000000001</v>
      </c>
      <c r="BS13" s="10">
        <v>2.4039999999999999</v>
      </c>
      <c r="BT13" s="10"/>
      <c r="BV13" s="17">
        <v>313.697</v>
      </c>
      <c r="BW13" s="17">
        <v>821.98400000000004</v>
      </c>
      <c r="BX13" s="10">
        <v>861.10400000000004</v>
      </c>
      <c r="BZ13" s="10">
        <v>797.88300000000004</v>
      </c>
      <c r="CA13" s="10">
        <v>585.05700000000002</v>
      </c>
      <c r="CB13" s="10"/>
      <c r="CD13" s="17">
        <v>2.9049999999999998</v>
      </c>
      <c r="CE13" s="17">
        <v>5.3029999999999999</v>
      </c>
      <c r="CF13" s="10">
        <v>6.1509999999999998</v>
      </c>
      <c r="CH13" s="10">
        <v>10.497999999999999</v>
      </c>
      <c r="CI13" s="10">
        <v>5.91</v>
      </c>
      <c r="CJ13" s="10"/>
      <c r="CL13" s="17">
        <v>2.2250000000000001</v>
      </c>
      <c r="CM13" s="17">
        <v>2.593</v>
      </c>
      <c r="CN13" s="10">
        <v>2.5779999999999998</v>
      </c>
      <c r="CP13" s="10">
        <v>2.77</v>
      </c>
      <c r="CQ13" s="10">
        <v>2.4580000000000002</v>
      </c>
      <c r="CR13" s="10"/>
      <c r="CT13" s="17">
        <v>16</v>
      </c>
      <c r="CU13" s="17">
        <v>86</v>
      </c>
      <c r="CV13" s="10">
        <v>102</v>
      </c>
      <c r="CX13" s="10">
        <v>116</v>
      </c>
      <c r="CY13" s="10">
        <v>71</v>
      </c>
      <c r="CZ13" s="10"/>
      <c r="DB13" s="17">
        <v>0.14799999999999999</v>
      </c>
      <c r="DC13" s="17">
        <v>0.55500000000000005</v>
      </c>
      <c r="DD13" s="10">
        <v>0.72899999999999998</v>
      </c>
      <c r="DF13" s="10">
        <v>1.526</v>
      </c>
      <c r="DG13" s="10">
        <v>0.71699999999999997</v>
      </c>
      <c r="DH13" s="10"/>
      <c r="DJ13" s="17">
        <v>221</v>
      </c>
      <c r="DK13" s="17">
        <v>362</v>
      </c>
      <c r="DL13" s="10">
        <v>350</v>
      </c>
      <c r="DN13" s="10">
        <v>218</v>
      </c>
      <c r="DO13" s="10">
        <v>251</v>
      </c>
      <c r="DP13" s="10"/>
      <c r="DR13" s="17">
        <v>2.0459999999999998</v>
      </c>
      <c r="DS13" s="17">
        <v>2.335</v>
      </c>
      <c r="DT13" s="10">
        <v>2.5</v>
      </c>
      <c r="DV13" s="10">
        <v>2.8679999999999999</v>
      </c>
      <c r="DW13" s="10">
        <v>2.5350000000000001</v>
      </c>
      <c r="DZ13" s="17">
        <v>0.47699999999999998</v>
      </c>
      <c r="EA13" s="17">
        <v>0.505</v>
      </c>
      <c r="EB13" s="10">
        <v>0.48</v>
      </c>
      <c r="ED13" s="10">
        <v>0.501</v>
      </c>
      <c r="EE13" s="10">
        <v>0.47299999999999998</v>
      </c>
    </row>
    <row r="14" spans="2:135" s="10" customFormat="1" x14ac:dyDescent="0.25">
      <c r="B14" s="10">
        <v>83</v>
      </c>
      <c r="C14" s="17">
        <v>70</v>
      </c>
      <c r="F14" s="10">
        <v>205</v>
      </c>
      <c r="J14" s="10">
        <v>133.5</v>
      </c>
      <c r="K14" s="17">
        <v>277.524</v>
      </c>
      <c r="N14" s="10">
        <v>614.02300000000002</v>
      </c>
      <c r="R14" s="10">
        <v>1.6080000000000001</v>
      </c>
      <c r="S14" s="17">
        <v>3.9649999999999999</v>
      </c>
      <c r="V14" s="10">
        <v>2.9950000000000001</v>
      </c>
      <c r="Z14" s="10">
        <v>616.46</v>
      </c>
      <c r="AA14" s="17">
        <v>1127.3630000000001</v>
      </c>
      <c r="AD14" s="10">
        <v>2399.7359999999999</v>
      </c>
      <c r="AH14" s="10">
        <v>7.4269999999999996</v>
      </c>
      <c r="AI14" s="17">
        <v>16.105</v>
      </c>
      <c r="AL14" s="10">
        <v>11.706</v>
      </c>
      <c r="AP14" s="10">
        <v>3.839</v>
      </c>
      <c r="AQ14" s="17">
        <v>2.722</v>
      </c>
      <c r="AT14" s="10">
        <v>2.8769999999999998</v>
      </c>
      <c r="AX14" s="10">
        <v>2.8130000000000002</v>
      </c>
      <c r="AY14" s="17">
        <v>5.3470000000000004</v>
      </c>
      <c r="BB14" s="10">
        <v>3.98</v>
      </c>
      <c r="BF14" s="10">
        <v>110</v>
      </c>
      <c r="BG14" s="17">
        <v>240</v>
      </c>
      <c r="BJ14" s="10">
        <v>518</v>
      </c>
      <c r="BN14" s="10">
        <v>1.325</v>
      </c>
      <c r="BO14" s="17">
        <v>3.4289999999999998</v>
      </c>
      <c r="BR14" s="10">
        <v>2.5270000000000001</v>
      </c>
      <c r="BV14" s="10">
        <v>236.10300000000001</v>
      </c>
      <c r="BW14" s="17">
        <v>539.91999999999996</v>
      </c>
      <c r="BZ14" s="10">
        <v>1279.5909999999999</v>
      </c>
      <c r="CD14" s="10">
        <v>2.8450000000000002</v>
      </c>
      <c r="CE14" s="17">
        <v>7.7130000000000001</v>
      </c>
      <c r="CH14" s="10">
        <v>6.242</v>
      </c>
      <c r="CL14" s="10">
        <v>2.1459999999999999</v>
      </c>
      <c r="CM14" s="17">
        <v>2.25</v>
      </c>
      <c r="CP14" s="10">
        <v>2.4700000000000002</v>
      </c>
      <c r="CT14" s="10">
        <v>14</v>
      </c>
      <c r="CU14" s="17">
        <v>90</v>
      </c>
      <c r="CX14" s="10">
        <v>164</v>
      </c>
      <c r="DB14" s="10">
        <v>0.16900000000000001</v>
      </c>
      <c r="DC14" s="17">
        <v>1.286</v>
      </c>
      <c r="DF14" s="10">
        <v>0.8</v>
      </c>
      <c r="DJ14" s="10">
        <v>174</v>
      </c>
      <c r="DK14" s="17">
        <v>205</v>
      </c>
      <c r="DN14" s="10">
        <v>513</v>
      </c>
      <c r="DR14" s="10">
        <v>2.0960000000000001</v>
      </c>
      <c r="DS14" s="17">
        <v>2.9289999999999998</v>
      </c>
      <c r="DV14" s="10">
        <v>2.5019999999999998</v>
      </c>
      <c r="DZ14" s="10">
        <v>0.5</v>
      </c>
      <c r="EA14" s="17">
        <v>0.50600000000000001</v>
      </c>
      <c r="ED14" s="10">
        <v>0.48399999999999999</v>
      </c>
    </row>
    <row r="15" spans="2:135" s="10" customFormat="1" x14ac:dyDescent="0.25">
      <c r="B15" s="10">
        <v>67</v>
      </c>
      <c r="C15" s="17">
        <v>278</v>
      </c>
      <c r="F15" s="10">
        <v>134</v>
      </c>
      <c r="J15" s="10">
        <v>85.58</v>
      </c>
      <c r="K15" s="17">
        <v>396.86</v>
      </c>
      <c r="N15" s="10">
        <v>396.2</v>
      </c>
      <c r="R15" s="10">
        <v>1.2769999999999999</v>
      </c>
      <c r="S15" s="17">
        <v>1.4279999999999999</v>
      </c>
      <c r="V15" s="10">
        <v>2.9569999999999999</v>
      </c>
      <c r="Z15" s="10">
        <v>402.46</v>
      </c>
      <c r="AA15" s="17">
        <v>1981.8879999999999</v>
      </c>
      <c r="AD15" s="10">
        <v>1885.828</v>
      </c>
      <c r="AH15" s="10">
        <v>6.0069999999999997</v>
      </c>
      <c r="AI15" s="17">
        <v>7.1289999999999996</v>
      </c>
      <c r="AL15" s="10">
        <v>14.073</v>
      </c>
      <c r="AP15" s="10">
        <v>2.9630000000000001</v>
      </c>
      <c r="AQ15" s="17">
        <v>3.105</v>
      </c>
      <c r="AT15" s="10">
        <v>4.6029999999999998</v>
      </c>
      <c r="AX15" s="10">
        <v>2.3050000000000002</v>
      </c>
      <c r="AY15" s="17">
        <v>2.9529999999999998</v>
      </c>
      <c r="BB15" s="10">
        <v>5.4379999999999997</v>
      </c>
      <c r="BF15" s="10">
        <v>85</v>
      </c>
      <c r="BG15" s="17">
        <v>428</v>
      </c>
      <c r="BJ15" s="10">
        <v>239</v>
      </c>
      <c r="BN15" s="10">
        <v>1.2689999999999999</v>
      </c>
      <c r="BO15" s="17">
        <v>1.54</v>
      </c>
      <c r="BR15" s="10">
        <v>1.784</v>
      </c>
      <c r="BV15" s="10">
        <v>138.816</v>
      </c>
      <c r="BW15" s="17">
        <v>780.30200000000002</v>
      </c>
      <c r="BZ15" s="10">
        <v>825.19399999999996</v>
      </c>
      <c r="CD15" s="10">
        <v>2.0720000000000001</v>
      </c>
      <c r="CE15" s="17">
        <v>2.8069999999999999</v>
      </c>
      <c r="CH15" s="10">
        <v>6.1580000000000004</v>
      </c>
      <c r="CL15" s="10">
        <v>1.633</v>
      </c>
      <c r="CM15" s="17">
        <v>1.823</v>
      </c>
      <c r="CP15" s="10">
        <v>3.4529999999999998</v>
      </c>
      <c r="CT15" s="10">
        <v>10</v>
      </c>
      <c r="CU15" s="17">
        <v>75</v>
      </c>
      <c r="CX15" s="10">
        <v>53</v>
      </c>
      <c r="DB15" s="10">
        <v>0.14899999999999999</v>
      </c>
      <c r="DC15" s="17">
        <v>0.27</v>
      </c>
      <c r="DF15" s="10">
        <v>0.39600000000000002</v>
      </c>
      <c r="DJ15" s="10">
        <v>134</v>
      </c>
      <c r="DK15" s="17">
        <v>595</v>
      </c>
      <c r="DN15" s="10">
        <v>302</v>
      </c>
      <c r="DR15" s="10">
        <v>2</v>
      </c>
      <c r="DS15" s="17">
        <v>2.14</v>
      </c>
      <c r="DV15" s="10">
        <v>2.254</v>
      </c>
      <c r="DZ15" s="10">
        <v>0.50600000000000001</v>
      </c>
      <c r="EA15" s="17">
        <v>0.46899999999999997</v>
      </c>
      <c r="ED15" s="10">
        <v>0.47699999999999998</v>
      </c>
    </row>
    <row r="16" spans="2:135" s="10" customFormat="1" x14ac:dyDescent="0.25">
      <c r="B16" s="10">
        <v>57</v>
      </c>
      <c r="C16" s="17">
        <v>152</v>
      </c>
      <c r="F16" s="10">
        <v>130</v>
      </c>
      <c r="J16" s="10">
        <v>113.813</v>
      </c>
      <c r="K16" s="17">
        <v>400.81299999999999</v>
      </c>
      <c r="N16" s="10">
        <v>327.286</v>
      </c>
      <c r="R16" s="10">
        <v>1.9970000000000001</v>
      </c>
      <c r="S16" s="17">
        <v>2.637</v>
      </c>
      <c r="V16" s="10">
        <v>2.5179999999999998</v>
      </c>
      <c r="Z16" s="10">
        <v>514.54499999999996</v>
      </c>
      <c r="AA16" s="17">
        <v>1808.588</v>
      </c>
      <c r="AD16" s="10">
        <v>1484.806</v>
      </c>
      <c r="AH16" s="10">
        <v>9.0269999999999992</v>
      </c>
      <c r="AI16" s="17">
        <v>11.898999999999999</v>
      </c>
      <c r="AL16" s="10">
        <v>11.422000000000001</v>
      </c>
      <c r="AP16" s="10">
        <v>3.8849999999999998</v>
      </c>
      <c r="AQ16" s="17">
        <v>3.3620000000000001</v>
      </c>
      <c r="AT16" s="10">
        <v>3.923</v>
      </c>
      <c r="AX16" s="10">
        <v>3.331</v>
      </c>
      <c r="AY16" s="17">
        <v>4.4180000000000001</v>
      </c>
      <c r="BB16" s="10">
        <v>4.2389999999999999</v>
      </c>
      <c r="BF16" s="10">
        <v>89</v>
      </c>
      <c r="BG16" s="17">
        <v>342</v>
      </c>
      <c r="BJ16" s="10">
        <v>251</v>
      </c>
      <c r="BN16" s="10">
        <v>1.5609999999999999</v>
      </c>
      <c r="BO16" s="17">
        <v>2.25</v>
      </c>
      <c r="BR16" s="10">
        <v>1.931</v>
      </c>
      <c r="BV16" s="10">
        <v>206.898</v>
      </c>
      <c r="BW16" s="17">
        <v>816.62400000000002</v>
      </c>
      <c r="BZ16" s="10">
        <v>645.60799999999995</v>
      </c>
      <c r="CD16" s="10">
        <v>3.63</v>
      </c>
      <c r="CE16" s="17">
        <v>5.3730000000000002</v>
      </c>
      <c r="CH16" s="10">
        <v>4.9660000000000002</v>
      </c>
      <c r="CL16" s="10">
        <v>2.3250000000000002</v>
      </c>
      <c r="CM16" s="17">
        <v>2.3879999999999999</v>
      </c>
      <c r="CP16" s="10">
        <v>2.5720000000000001</v>
      </c>
      <c r="CT16" s="10">
        <v>17</v>
      </c>
      <c r="CU16" s="17">
        <v>100</v>
      </c>
      <c r="CX16" s="10">
        <v>63</v>
      </c>
      <c r="DB16" s="10">
        <v>0.29799999999999999</v>
      </c>
      <c r="DC16" s="17">
        <v>0.65800000000000003</v>
      </c>
      <c r="DF16" s="10">
        <v>0.48499999999999999</v>
      </c>
      <c r="DJ16" s="10">
        <v>122</v>
      </c>
      <c r="DK16" s="17">
        <v>367</v>
      </c>
      <c r="DN16" s="10">
        <v>299</v>
      </c>
      <c r="DR16" s="10">
        <v>2.14</v>
      </c>
      <c r="DS16" s="17">
        <v>2.4140000000000001</v>
      </c>
      <c r="DV16" s="10">
        <v>2.2999999999999998</v>
      </c>
      <c r="DZ16" s="10">
        <v>0.51100000000000001</v>
      </c>
      <c r="EA16" s="17">
        <v>0.48499999999999999</v>
      </c>
      <c r="ED16" s="10">
        <v>0.49299999999999999</v>
      </c>
    </row>
    <row r="17" spans="2:130" s="10" customFormat="1" x14ac:dyDescent="0.25">
      <c r="B17" s="10">
        <v>98</v>
      </c>
      <c r="J17" s="10">
        <v>151.38300000000001</v>
      </c>
      <c r="R17" s="10">
        <v>1.5449999999999999</v>
      </c>
      <c r="Z17" s="10">
        <v>677.87800000000004</v>
      </c>
      <c r="AH17" s="10">
        <v>6.9169999999999998</v>
      </c>
      <c r="AP17" s="10">
        <v>3.089</v>
      </c>
      <c r="AX17" s="10">
        <v>2.5470000000000002</v>
      </c>
      <c r="BF17" s="10">
        <v>135</v>
      </c>
      <c r="BN17" s="10">
        <v>1.3779999999999999</v>
      </c>
      <c r="BV17" s="10">
        <v>247.72900000000001</v>
      </c>
      <c r="CD17" s="10">
        <v>2.528</v>
      </c>
      <c r="CL17" s="10">
        <v>1.835</v>
      </c>
      <c r="CT17" s="10">
        <v>19</v>
      </c>
      <c r="DB17" s="10">
        <v>0.19400000000000001</v>
      </c>
      <c r="DJ17" s="10">
        <v>200</v>
      </c>
      <c r="DR17" s="10">
        <v>2.0409999999999999</v>
      </c>
      <c r="DZ17" s="10">
        <v>0.51800000000000002</v>
      </c>
    </row>
    <row r="18" spans="2:130" s="10" customFormat="1" x14ac:dyDescent="0.25">
      <c r="B18" s="10">
        <v>120</v>
      </c>
      <c r="J18" s="10">
        <v>204.14</v>
      </c>
      <c r="R18" s="10">
        <v>1.7010000000000001</v>
      </c>
      <c r="Z18" s="10">
        <v>928.25599999999997</v>
      </c>
      <c r="AH18" s="10">
        <v>7.7350000000000003</v>
      </c>
      <c r="AP18" s="10">
        <v>3.843</v>
      </c>
      <c r="AX18" s="10">
        <v>2.891</v>
      </c>
      <c r="BF18" s="10">
        <v>152</v>
      </c>
      <c r="BN18" s="10">
        <v>1.2669999999999999</v>
      </c>
      <c r="BV18" s="10">
        <v>360.18299999999999</v>
      </c>
      <c r="CD18" s="10">
        <v>3.0019999999999998</v>
      </c>
      <c r="CL18" s="10">
        <v>2.37</v>
      </c>
      <c r="CT18" s="10">
        <v>17</v>
      </c>
      <c r="DB18" s="10">
        <v>0.14199999999999999</v>
      </c>
      <c r="DJ18" s="10">
        <v>242</v>
      </c>
      <c r="DR18" s="10">
        <v>2.0169999999999999</v>
      </c>
      <c r="DZ18" s="10">
        <v>0.51400000000000001</v>
      </c>
    </row>
    <row r="19" spans="2:130" s="10" customFormat="1" x14ac:dyDescent="0.25">
      <c r="B19" s="10">
        <v>65</v>
      </c>
      <c r="J19" s="10">
        <v>158.94399999999999</v>
      </c>
      <c r="R19" s="10">
        <v>2.4449999999999998</v>
      </c>
      <c r="Z19" s="10">
        <v>696.58100000000002</v>
      </c>
      <c r="AH19" s="10">
        <v>10.717000000000001</v>
      </c>
      <c r="AP19" s="10">
        <v>3.1269999999999998</v>
      </c>
      <c r="AX19" s="10">
        <v>3.8180000000000001</v>
      </c>
      <c r="BF19" s="10">
        <v>126</v>
      </c>
      <c r="BN19" s="10">
        <v>1.9379999999999999</v>
      </c>
      <c r="BV19" s="10">
        <v>293.13499999999999</v>
      </c>
      <c r="CD19" s="10">
        <v>4.51</v>
      </c>
      <c r="CL19" s="10">
        <v>2.3260000000000001</v>
      </c>
      <c r="CT19" s="10">
        <v>32</v>
      </c>
      <c r="DB19" s="10">
        <v>0.49199999999999999</v>
      </c>
      <c r="DJ19" s="10">
        <v>148</v>
      </c>
      <c r="DR19" s="10">
        <v>2.2770000000000001</v>
      </c>
      <c r="DZ19" s="10">
        <v>0.51600000000000001</v>
      </c>
    </row>
    <row r="20" spans="2:130" s="10" customFormat="1" x14ac:dyDescent="0.25">
      <c r="B20" s="10">
        <v>107</v>
      </c>
      <c r="J20" s="10">
        <v>208.56100000000001</v>
      </c>
      <c r="R20" s="10">
        <v>1.9490000000000001</v>
      </c>
      <c r="Z20" s="10">
        <v>967.71</v>
      </c>
      <c r="AH20" s="10">
        <v>9.0440000000000005</v>
      </c>
      <c r="AP20" s="10">
        <v>3.1520000000000001</v>
      </c>
      <c r="AX20" s="10">
        <v>3.4550000000000001</v>
      </c>
      <c r="BF20" s="10">
        <v>186</v>
      </c>
      <c r="BN20" s="10">
        <v>1.738</v>
      </c>
      <c r="BV20" s="10">
        <v>397.28399999999999</v>
      </c>
      <c r="CD20" s="10">
        <v>3.7130000000000001</v>
      </c>
      <c r="CL20" s="10">
        <v>2.1360000000000001</v>
      </c>
      <c r="CT20" s="10">
        <v>41</v>
      </c>
      <c r="DB20" s="10">
        <v>0.38300000000000001</v>
      </c>
      <c r="DJ20" s="10">
        <v>237</v>
      </c>
      <c r="DR20" s="10">
        <v>2.2149999999999999</v>
      </c>
      <c r="DZ20" s="10">
        <v>0.495</v>
      </c>
    </row>
    <row r="21" spans="2:130" s="10" customFormat="1" x14ac:dyDescent="0.25">
      <c r="B21" s="10">
        <v>140</v>
      </c>
      <c r="J21" s="10">
        <v>235.91200000000001</v>
      </c>
      <c r="R21" s="10">
        <v>1.6850000000000001</v>
      </c>
      <c r="Z21" s="10">
        <v>1059.905</v>
      </c>
      <c r="AH21" s="10">
        <v>7.5709999999999997</v>
      </c>
      <c r="AP21" s="10">
        <v>3.1520000000000001</v>
      </c>
      <c r="AX21" s="10">
        <v>2.8149999999999999</v>
      </c>
      <c r="BF21" s="10">
        <v>216</v>
      </c>
      <c r="BN21" s="10">
        <v>1.5429999999999999</v>
      </c>
      <c r="BV21" s="10">
        <v>414.81900000000002</v>
      </c>
      <c r="CD21" s="10">
        <v>2.9630000000000001</v>
      </c>
      <c r="CL21" s="10">
        <v>1.92</v>
      </c>
      <c r="CT21" s="10">
        <v>40</v>
      </c>
      <c r="DB21" s="10">
        <v>0.28599999999999998</v>
      </c>
      <c r="DJ21" s="10">
        <v>298</v>
      </c>
      <c r="DR21" s="10">
        <v>2.129</v>
      </c>
      <c r="DZ21" s="10">
        <v>0.51400000000000001</v>
      </c>
    </row>
    <row r="22" spans="2:130" s="10" customFormat="1" x14ac:dyDescent="0.25">
      <c r="B22" s="10">
        <v>103</v>
      </c>
      <c r="J22" s="10">
        <v>208.94900000000001</v>
      </c>
      <c r="R22" s="10">
        <v>2.0289999999999999</v>
      </c>
      <c r="Z22" s="10">
        <v>933.90200000000004</v>
      </c>
      <c r="AH22" s="10">
        <v>9.0670000000000002</v>
      </c>
      <c r="AP22" s="10">
        <v>4.0209999999999999</v>
      </c>
      <c r="AX22" s="10">
        <v>3.3290000000000002</v>
      </c>
      <c r="BF22" s="10">
        <v>143</v>
      </c>
      <c r="BN22" s="10">
        <v>1.3879999999999999</v>
      </c>
      <c r="BV22" s="10">
        <v>380.43599999999998</v>
      </c>
      <c r="CD22" s="10">
        <v>3.694</v>
      </c>
      <c r="CL22" s="10">
        <v>2.66</v>
      </c>
      <c r="CT22" s="10">
        <v>22</v>
      </c>
      <c r="DB22" s="10">
        <v>0.214</v>
      </c>
      <c r="DJ22" s="10">
        <v>210</v>
      </c>
      <c r="DR22" s="10">
        <v>2.0390000000000001</v>
      </c>
      <c r="DZ22" s="10">
        <v>0.51100000000000001</v>
      </c>
    </row>
    <row r="23" spans="2:130" s="10" customFormat="1" x14ac:dyDescent="0.25">
      <c r="B23" s="10">
        <v>169</v>
      </c>
      <c r="J23" s="10">
        <v>283.79399999999998</v>
      </c>
      <c r="R23" s="10">
        <v>1.679</v>
      </c>
      <c r="Z23" s="10">
        <v>1352.6020000000001</v>
      </c>
      <c r="AH23" s="10">
        <v>8.0039999999999996</v>
      </c>
      <c r="AP23" s="10">
        <v>3.117</v>
      </c>
      <c r="AX23" s="10">
        <v>3.1280000000000001</v>
      </c>
      <c r="BF23" s="10">
        <v>275</v>
      </c>
      <c r="BN23" s="10">
        <v>1.627</v>
      </c>
      <c r="BV23" s="10">
        <v>524.72799999999995</v>
      </c>
      <c r="CD23" s="10">
        <v>3.105</v>
      </c>
      <c r="CL23" s="10">
        <v>1.9079999999999999</v>
      </c>
      <c r="CT23" s="10">
        <v>54</v>
      </c>
      <c r="DB23" s="10">
        <v>0.32</v>
      </c>
      <c r="DJ23" s="10">
        <v>365</v>
      </c>
      <c r="DR23" s="10">
        <v>2.16</v>
      </c>
      <c r="DZ23" s="10">
        <v>0.48399999999999999</v>
      </c>
    </row>
    <row r="24" spans="2:130" s="10" customFormat="1" x14ac:dyDescent="0.25">
      <c r="B24" s="10">
        <v>109</v>
      </c>
      <c r="J24" s="10">
        <v>195.10599999999999</v>
      </c>
      <c r="R24" s="10">
        <v>1.79</v>
      </c>
      <c r="Z24" s="10">
        <v>892.995</v>
      </c>
      <c r="AH24" s="10">
        <v>8.1929999999999996</v>
      </c>
      <c r="AP24" s="10">
        <v>3.786</v>
      </c>
      <c r="AX24" s="10">
        <v>3.077</v>
      </c>
      <c r="BF24" s="10">
        <v>151</v>
      </c>
      <c r="BN24" s="10">
        <v>1.385</v>
      </c>
      <c r="BV24" s="10">
        <v>365.64800000000002</v>
      </c>
      <c r="CD24" s="10">
        <v>3.355</v>
      </c>
      <c r="CL24" s="10">
        <v>2.4220000000000002</v>
      </c>
      <c r="CT24" s="10">
        <v>23</v>
      </c>
      <c r="DB24" s="10">
        <v>0.21099999999999999</v>
      </c>
      <c r="DJ24" s="10">
        <v>225</v>
      </c>
      <c r="DR24" s="10">
        <v>2.0640000000000001</v>
      </c>
      <c r="DZ24" s="10">
        <v>0.499</v>
      </c>
    </row>
    <row r="25" spans="2:130" s="10" customFormat="1" x14ac:dyDescent="0.25">
      <c r="B25" s="10">
        <v>118</v>
      </c>
      <c r="J25" s="10">
        <v>243.86600000000001</v>
      </c>
      <c r="R25" s="10">
        <v>2.0670000000000002</v>
      </c>
      <c r="Z25" s="10">
        <v>1116.575</v>
      </c>
      <c r="AH25" s="10">
        <v>9.4629999999999992</v>
      </c>
      <c r="AP25" s="10">
        <v>3.4780000000000002</v>
      </c>
      <c r="AX25" s="10">
        <v>3.5379999999999998</v>
      </c>
      <c r="BF25" s="10">
        <v>193</v>
      </c>
      <c r="BN25" s="10">
        <v>1.6359999999999999</v>
      </c>
      <c r="BV25" s="10">
        <v>459.3</v>
      </c>
      <c r="CD25" s="10">
        <v>3.8919999999999999</v>
      </c>
      <c r="CL25" s="10">
        <v>2.38</v>
      </c>
      <c r="CT25" s="10">
        <v>40</v>
      </c>
      <c r="DB25" s="10">
        <v>0.33900000000000002</v>
      </c>
      <c r="DJ25" s="10">
        <v>256</v>
      </c>
      <c r="DR25" s="10">
        <v>2.169</v>
      </c>
      <c r="DZ25" s="10">
        <v>0.497</v>
      </c>
    </row>
    <row r="26" spans="2:130" s="10" customFormat="1" x14ac:dyDescent="0.25">
      <c r="B26" s="10">
        <v>127</v>
      </c>
      <c r="J26" s="10">
        <v>203.30600000000001</v>
      </c>
      <c r="R26" s="10">
        <v>1.601</v>
      </c>
      <c r="Z26" s="10">
        <v>892.03599999999994</v>
      </c>
      <c r="AH26" s="10">
        <v>7.024</v>
      </c>
      <c r="AP26" s="10">
        <v>2.9529999999999998</v>
      </c>
      <c r="AX26" s="10">
        <v>2.552</v>
      </c>
      <c r="BF26" s="10">
        <v>181</v>
      </c>
      <c r="BN26" s="10">
        <v>1.425</v>
      </c>
      <c r="BV26" s="10">
        <v>327.36099999999999</v>
      </c>
      <c r="CD26" s="10">
        <v>2.5779999999999998</v>
      </c>
      <c r="CL26" s="10">
        <v>1.8089999999999999</v>
      </c>
      <c r="CT26" s="10">
        <v>29</v>
      </c>
      <c r="DB26" s="10">
        <v>0.22800000000000001</v>
      </c>
      <c r="DJ26" s="10">
        <v>264</v>
      </c>
      <c r="DR26" s="10">
        <v>2.0790000000000002</v>
      </c>
      <c r="DZ26" s="10">
        <v>0.53</v>
      </c>
    </row>
    <row r="27" spans="2:130" s="10" customFormat="1" x14ac:dyDescent="0.25">
      <c r="B27" s="10">
        <v>113</v>
      </c>
      <c r="J27" s="10">
        <v>198.05</v>
      </c>
      <c r="R27" s="10">
        <v>1.7529999999999999</v>
      </c>
      <c r="Z27" s="10">
        <v>907.00199999999995</v>
      </c>
      <c r="AH27" s="10">
        <v>8.0269999999999992</v>
      </c>
      <c r="AP27" s="10">
        <v>3.2160000000000002</v>
      </c>
      <c r="AX27" s="10">
        <v>3.0089999999999999</v>
      </c>
      <c r="BF27" s="10">
        <v>178</v>
      </c>
      <c r="BN27" s="10">
        <v>1.575</v>
      </c>
      <c r="BV27" s="10">
        <v>346.572</v>
      </c>
      <c r="CD27" s="10">
        <v>3.0670000000000002</v>
      </c>
      <c r="CL27" s="10">
        <v>1.9470000000000001</v>
      </c>
      <c r="CT27" s="10">
        <v>33</v>
      </c>
      <c r="DB27" s="10">
        <v>0.29199999999999998</v>
      </c>
      <c r="DJ27" s="10">
        <v>246</v>
      </c>
      <c r="DR27" s="10">
        <v>2.177</v>
      </c>
      <c r="DZ27" s="10">
        <v>0.504</v>
      </c>
    </row>
    <row r="28" spans="2:130" s="10" customFormat="1" x14ac:dyDescent="0.25">
      <c r="B28" s="10">
        <v>112</v>
      </c>
      <c r="J28" s="10">
        <v>199.161</v>
      </c>
      <c r="R28" s="10">
        <v>1.778</v>
      </c>
      <c r="Z28" s="10">
        <v>912.40899999999999</v>
      </c>
      <c r="AH28" s="10">
        <v>8.1470000000000002</v>
      </c>
      <c r="AP28" s="10">
        <v>3.0190000000000001</v>
      </c>
      <c r="AX28" s="10">
        <v>3.0870000000000002</v>
      </c>
      <c r="BF28" s="10">
        <v>179</v>
      </c>
      <c r="BN28" s="10">
        <v>1.5980000000000001</v>
      </c>
      <c r="BV28" s="10">
        <v>355.64600000000002</v>
      </c>
      <c r="CD28" s="10">
        <v>3.1749999999999998</v>
      </c>
      <c r="CL28" s="10">
        <v>1.9870000000000001</v>
      </c>
      <c r="CT28" s="10">
        <v>35</v>
      </c>
      <c r="DB28" s="10">
        <v>0.312</v>
      </c>
      <c r="DJ28" s="10">
        <v>238</v>
      </c>
      <c r="DR28" s="10">
        <v>2.125</v>
      </c>
      <c r="DZ28" s="10">
        <v>0.501</v>
      </c>
    </row>
    <row r="29" spans="2:130" s="10" customFormat="1" x14ac:dyDescent="0.25">
      <c r="B29" s="10">
        <v>130</v>
      </c>
      <c r="J29" s="10">
        <v>178.899</v>
      </c>
      <c r="R29" s="10">
        <v>1.3759999999999999</v>
      </c>
      <c r="Z29" s="10">
        <v>781.08100000000002</v>
      </c>
      <c r="AH29" s="10">
        <v>6.008</v>
      </c>
      <c r="AP29" s="10">
        <v>2.7839999999999998</v>
      </c>
      <c r="AX29" s="10">
        <v>2.19</v>
      </c>
      <c r="BF29" s="10">
        <v>158</v>
      </c>
      <c r="BN29" s="10">
        <v>1.2150000000000001</v>
      </c>
      <c r="BV29" s="10">
        <v>261.00400000000002</v>
      </c>
      <c r="CD29" s="10">
        <v>2.008</v>
      </c>
      <c r="CL29" s="10">
        <v>1.6519999999999999</v>
      </c>
      <c r="CT29" s="10">
        <v>16</v>
      </c>
      <c r="DB29" s="10">
        <v>0.123</v>
      </c>
      <c r="DJ29" s="10">
        <v>251</v>
      </c>
      <c r="DR29" s="10">
        <v>1.931</v>
      </c>
      <c r="DZ29" s="10">
        <v>0.53500000000000003</v>
      </c>
    </row>
    <row r="30" spans="2:130" s="10" customFormat="1" x14ac:dyDescent="0.25">
      <c r="B30" s="10">
        <v>164</v>
      </c>
      <c r="J30" s="10">
        <v>295.39</v>
      </c>
      <c r="R30" s="10">
        <v>1.8009999999999999</v>
      </c>
      <c r="Z30" s="10">
        <v>1369.027</v>
      </c>
      <c r="AH30" s="10">
        <v>8.3480000000000008</v>
      </c>
      <c r="AP30" s="10">
        <v>3.4870000000000001</v>
      </c>
      <c r="AX30" s="10">
        <v>3.1669999999999998</v>
      </c>
      <c r="BF30" s="10">
        <v>255</v>
      </c>
      <c r="BN30" s="10">
        <v>1.5549999999999999</v>
      </c>
      <c r="BV30" s="10">
        <v>539.34100000000001</v>
      </c>
      <c r="CD30" s="10">
        <v>3.2890000000000001</v>
      </c>
      <c r="CL30" s="10">
        <v>2.1150000000000002</v>
      </c>
      <c r="CT30" s="10">
        <v>47</v>
      </c>
      <c r="DB30" s="10">
        <v>0.28699999999999998</v>
      </c>
      <c r="DJ30" s="10">
        <v>354</v>
      </c>
      <c r="DR30" s="10">
        <v>2.1589999999999998</v>
      </c>
      <c r="DZ30" s="10">
        <v>0.499</v>
      </c>
    </row>
    <row r="31" spans="2:130" s="10" customFormat="1" x14ac:dyDescent="0.25">
      <c r="B31" s="10">
        <v>247</v>
      </c>
      <c r="J31" s="10">
        <v>266.529</v>
      </c>
      <c r="R31" s="10">
        <v>1.079</v>
      </c>
      <c r="Z31" s="10">
        <v>1396.2049999999999</v>
      </c>
      <c r="AH31" s="10">
        <v>5.6529999999999996</v>
      </c>
      <c r="AP31" s="10">
        <v>3.0720000000000001</v>
      </c>
      <c r="AX31" s="10">
        <v>2.456</v>
      </c>
      <c r="BF31" s="10">
        <v>303</v>
      </c>
      <c r="BN31" s="10">
        <v>1.2270000000000001</v>
      </c>
      <c r="BV31" s="10">
        <v>500.26900000000001</v>
      </c>
      <c r="CD31" s="10">
        <v>2.0249999999999999</v>
      </c>
      <c r="CL31" s="10">
        <v>1.651</v>
      </c>
      <c r="CT31" s="10">
        <v>29</v>
      </c>
      <c r="DB31" s="10">
        <v>0.11700000000000001</v>
      </c>
      <c r="DJ31" s="10">
        <v>495</v>
      </c>
      <c r="DR31" s="10">
        <v>2.004</v>
      </c>
      <c r="DZ31" s="10">
        <v>0.45900000000000002</v>
      </c>
    </row>
    <row r="32" spans="2:130" s="10" customFormat="1" x14ac:dyDescent="0.25">
      <c r="B32" s="10">
        <v>87</v>
      </c>
      <c r="J32" s="10">
        <v>143.24700000000001</v>
      </c>
      <c r="R32" s="10">
        <v>1.647</v>
      </c>
      <c r="Z32" s="10">
        <v>668.98199999999997</v>
      </c>
      <c r="AH32" s="10">
        <v>7.6890000000000001</v>
      </c>
      <c r="AP32" s="10">
        <v>2.5819999999999999</v>
      </c>
      <c r="AX32" s="10">
        <v>2.952</v>
      </c>
      <c r="BF32" s="10">
        <v>150</v>
      </c>
      <c r="BN32" s="10">
        <v>1.724</v>
      </c>
      <c r="BV32" s="10">
        <v>257.041</v>
      </c>
      <c r="CD32" s="10">
        <v>2.9540000000000002</v>
      </c>
      <c r="CL32" s="10">
        <v>1.714</v>
      </c>
      <c r="CT32" s="10">
        <v>33</v>
      </c>
      <c r="DB32" s="10">
        <v>0.379</v>
      </c>
      <c r="DJ32" s="10">
        <v>191</v>
      </c>
      <c r="DR32" s="10">
        <v>2.1949999999999998</v>
      </c>
      <c r="DZ32" s="10">
        <v>0.499</v>
      </c>
    </row>
    <row r="33" spans="2:130" s="10" customFormat="1" x14ac:dyDescent="0.25">
      <c r="B33" s="10">
        <v>140</v>
      </c>
      <c r="J33" s="10">
        <v>284.40100000000001</v>
      </c>
      <c r="R33" s="10">
        <v>2.0310000000000001</v>
      </c>
      <c r="Z33" s="10">
        <v>1244.761</v>
      </c>
      <c r="AH33" s="10">
        <v>8.891</v>
      </c>
      <c r="AP33" s="10">
        <v>3.5659999999999998</v>
      </c>
      <c r="AX33" s="10">
        <v>3.198</v>
      </c>
      <c r="BF33" s="10">
        <v>211</v>
      </c>
      <c r="BN33" s="10">
        <v>1.5069999999999999</v>
      </c>
      <c r="BV33" s="10">
        <v>484.916</v>
      </c>
      <c r="CD33" s="10">
        <v>3.464</v>
      </c>
      <c r="CL33" s="10">
        <v>2.298</v>
      </c>
      <c r="CT33" s="10">
        <v>39</v>
      </c>
      <c r="DB33" s="10">
        <v>0.27900000000000003</v>
      </c>
      <c r="DJ33" s="10">
        <v>286</v>
      </c>
      <c r="DR33" s="10">
        <v>2.0430000000000001</v>
      </c>
      <c r="DZ33" s="10">
        <v>0.51600000000000001</v>
      </c>
    </row>
    <row r="34" spans="2:130" s="10" customFormat="1" x14ac:dyDescent="0.25">
      <c r="B34" s="10">
        <v>124</v>
      </c>
      <c r="J34" s="10">
        <v>266.904</v>
      </c>
      <c r="R34" s="10">
        <v>2.1520000000000001</v>
      </c>
      <c r="Z34" s="10">
        <v>1235.8900000000001</v>
      </c>
      <c r="AH34" s="10">
        <v>9.9670000000000005</v>
      </c>
      <c r="AP34" s="10">
        <v>3.9609999999999999</v>
      </c>
      <c r="AX34" s="10">
        <v>3.7709999999999999</v>
      </c>
      <c r="BF34" s="10">
        <v>198</v>
      </c>
      <c r="BN34" s="10">
        <v>1.597</v>
      </c>
      <c r="BV34" s="10">
        <v>500.58199999999999</v>
      </c>
      <c r="CD34" s="10">
        <v>4.0369999999999999</v>
      </c>
      <c r="CL34" s="10">
        <v>2.528</v>
      </c>
      <c r="CT34" s="10">
        <v>37</v>
      </c>
      <c r="DB34" s="10">
        <v>0.29799999999999999</v>
      </c>
      <c r="DJ34" s="10">
        <v>277</v>
      </c>
      <c r="DR34" s="10">
        <v>2.234</v>
      </c>
      <c r="DZ34" s="10">
        <v>0.496</v>
      </c>
    </row>
    <row r="35" spans="2:130" s="10" customFormat="1" x14ac:dyDescent="0.25">
      <c r="B35" s="10">
        <v>157</v>
      </c>
      <c r="J35" s="10">
        <v>225.21899999999999</v>
      </c>
      <c r="R35" s="10">
        <v>1.4350000000000001</v>
      </c>
      <c r="Z35" s="10">
        <v>983.654</v>
      </c>
      <c r="AH35" s="10">
        <v>6.2649999999999997</v>
      </c>
      <c r="AP35" s="10">
        <v>3.1520000000000001</v>
      </c>
      <c r="AX35" s="10">
        <v>2.2869999999999999</v>
      </c>
      <c r="BF35" s="10">
        <v>190</v>
      </c>
      <c r="BN35" s="10">
        <v>1.21</v>
      </c>
      <c r="BV35" s="10">
        <v>339.55599999999998</v>
      </c>
      <c r="CD35" s="10">
        <v>2.1629999999999998</v>
      </c>
      <c r="CL35" s="10">
        <v>1.7869999999999999</v>
      </c>
      <c r="CT35" s="10">
        <v>17</v>
      </c>
      <c r="DB35" s="10">
        <v>0.108</v>
      </c>
      <c r="DJ35" s="10">
        <v>309</v>
      </c>
      <c r="DR35" s="10">
        <v>1.968</v>
      </c>
      <c r="DZ35" s="10">
        <v>0.54</v>
      </c>
    </row>
    <row r="36" spans="2:130" s="10" customFormat="1" x14ac:dyDescent="0.25">
      <c r="B36" s="10">
        <v>86</v>
      </c>
      <c r="J36" s="10">
        <v>154.404</v>
      </c>
      <c r="R36" s="10">
        <v>1.7949999999999999</v>
      </c>
      <c r="Z36" s="10">
        <v>695.56600000000003</v>
      </c>
      <c r="AH36" s="10">
        <v>8.0879999999999992</v>
      </c>
      <c r="AP36" s="10">
        <v>2.6509999999999998</v>
      </c>
      <c r="AX36" s="10">
        <v>3.0139999999999998</v>
      </c>
      <c r="BF36" s="10">
        <v>138</v>
      </c>
      <c r="BN36" s="10">
        <v>1.605</v>
      </c>
      <c r="BV36" s="10">
        <v>269.8</v>
      </c>
      <c r="CD36" s="10">
        <v>3.137</v>
      </c>
      <c r="CL36" s="10">
        <v>1.9550000000000001</v>
      </c>
      <c r="CT36" s="10">
        <v>27</v>
      </c>
      <c r="DB36" s="10">
        <v>0.314</v>
      </c>
      <c r="DJ36" s="10">
        <v>179</v>
      </c>
      <c r="DR36" s="10">
        <v>2.081</v>
      </c>
      <c r="DZ36" s="10">
        <v>0.50600000000000001</v>
      </c>
    </row>
    <row r="37" spans="2:130" s="10" customFormat="1" x14ac:dyDescent="0.25">
      <c r="B37" s="10">
        <v>244</v>
      </c>
      <c r="J37" s="10">
        <v>430.90100000000001</v>
      </c>
      <c r="R37" s="10">
        <v>1.766</v>
      </c>
      <c r="Z37" s="10">
        <v>2010.9670000000001</v>
      </c>
      <c r="AH37" s="10">
        <v>8.2420000000000009</v>
      </c>
      <c r="AP37" s="10">
        <v>3.66</v>
      </c>
      <c r="AX37" s="10">
        <v>3.1360000000000001</v>
      </c>
      <c r="BF37" s="10">
        <v>353</v>
      </c>
      <c r="BN37" s="10">
        <v>1.4470000000000001</v>
      </c>
      <c r="BV37" s="10">
        <v>786.73299999999995</v>
      </c>
      <c r="CD37" s="10">
        <v>3.2240000000000002</v>
      </c>
      <c r="CL37" s="10">
        <v>2.2290000000000001</v>
      </c>
      <c r="CT37" s="10">
        <v>56</v>
      </c>
      <c r="DB37" s="10">
        <v>0.23</v>
      </c>
      <c r="DJ37" s="10">
        <v>517</v>
      </c>
      <c r="DR37" s="10">
        <v>2.1190000000000002</v>
      </c>
      <c r="DZ37" s="10">
        <v>0.498</v>
      </c>
    </row>
    <row r="38" spans="2:130" s="10" customFormat="1" x14ac:dyDescent="0.25">
      <c r="B38" s="10">
        <v>77</v>
      </c>
      <c r="J38" s="10">
        <v>218.38800000000001</v>
      </c>
      <c r="R38" s="10">
        <v>2.8359999999999999</v>
      </c>
      <c r="Z38" s="10">
        <v>926.49099999999999</v>
      </c>
      <c r="AH38" s="10">
        <v>12.032</v>
      </c>
      <c r="AP38" s="10">
        <v>3.4870000000000001</v>
      </c>
      <c r="AX38" s="10">
        <v>4.2149999999999999</v>
      </c>
      <c r="BF38" s="10">
        <v>163</v>
      </c>
      <c r="BN38" s="10">
        <v>2.117</v>
      </c>
      <c r="BV38" s="10">
        <v>405.96100000000001</v>
      </c>
      <c r="CD38" s="10">
        <v>5.2720000000000002</v>
      </c>
      <c r="CL38" s="10">
        <v>2.4910000000000001</v>
      </c>
      <c r="CT38" s="10">
        <v>45</v>
      </c>
      <c r="DB38" s="10">
        <v>0.58399999999999996</v>
      </c>
      <c r="DJ38" s="10">
        <v>184</v>
      </c>
      <c r="DR38" s="10">
        <v>2.39</v>
      </c>
      <c r="DZ38" s="10">
        <v>0.50900000000000001</v>
      </c>
    </row>
    <row r="39" spans="2:130" s="10" customFormat="1" x14ac:dyDescent="0.25">
      <c r="B39" s="10">
        <v>75</v>
      </c>
      <c r="J39" s="10">
        <v>143.71100000000001</v>
      </c>
      <c r="R39" s="10">
        <v>1.9159999999999999</v>
      </c>
      <c r="Z39" s="10">
        <v>633.36800000000005</v>
      </c>
      <c r="AH39" s="10">
        <v>8.4450000000000003</v>
      </c>
      <c r="AP39" s="10">
        <v>2.9489999999999998</v>
      </c>
      <c r="AX39" s="10">
        <v>3.0339999999999998</v>
      </c>
      <c r="BF39" s="10">
        <v>124</v>
      </c>
      <c r="BN39" s="10">
        <v>1.653</v>
      </c>
      <c r="BV39" s="10">
        <v>246.096</v>
      </c>
      <c r="CD39" s="10">
        <v>3.2810000000000001</v>
      </c>
      <c r="CL39" s="10">
        <v>1.9850000000000001</v>
      </c>
      <c r="CT39" s="10">
        <v>26</v>
      </c>
      <c r="DB39" s="10">
        <v>0.34699999999999998</v>
      </c>
      <c r="DJ39" s="10">
        <v>157</v>
      </c>
      <c r="DR39" s="10">
        <v>2.093</v>
      </c>
      <c r="DZ39" s="10">
        <v>0.51600000000000001</v>
      </c>
    </row>
    <row r="40" spans="2:130" s="10" customFormat="1" x14ac:dyDescent="0.25">
      <c r="B40" s="10">
        <v>78</v>
      </c>
      <c r="J40" s="10">
        <v>159.25899999999999</v>
      </c>
      <c r="R40" s="10">
        <v>2.0419999999999998</v>
      </c>
      <c r="Z40" s="10">
        <v>675.053</v>
      </c>
      <c r="AH40" s="10">
        <v>8.6549999999999994</v>
      </c>
      <c r="AP40" s="10">
        <v>2.7029999999999998</v>
      </c>
      <c r="AX40" s="10">
        <v>3.0059999999999998</v>
      </c>
      <c r="BF40" s="10">
        <v>131</v>
      </c>
      <c r="BN40" s="10">
        <v>1.679</v>
      </c>
      <c r="BV40" s="10">
        <v>266.29199999999997</v>
      </c>
      <c r="CD40" s="10">
        <v>3.4140000000000001</v>
      </c>
      <c r="CL40" s="10">
        <v>2.0329999999999999</v>
      </c>
      <c r="CT40" s="10">
        <v>31</v>
      </c>
      <c r="DB40" s="10">
        <v>0.39700000000000002</v>
      </c>
      <c r="DJ40" s="10">
        <v>158</v>
      </c>
      <c r="DR40" s="10">
        <v>2.0259999999999998</v>
      </c>
      <c r="DZ40" s="10">
        <v>0.52</v>
      </c>
    </row>
    <row r="41" spans="2:130" s="10" customFormat="1" x14ac:dyDescent="0.25">
      <c r="B41" s="10">
        <v>102</v>
      </c>
      <c r="J41" s="10">
        <v>285.37</v>
      </c>
      <c r="R41" s="10">
        <v>2.798</v>
      </c>
      <c r="Z41" s="10">
        <v>1191.4469999999999</v>
      </c>
      <c r="AH41" s="10">
        <v>11.680999999999999</v>
      </c>
      <c r="AP41" s="10">
        <v>3.3679999999999999</v>
      </c>
      <c r="AX41" s="10">
        <v>3.9729999999999999</v>
      </c>
      <c r="BF41" s="10">
        <v>196</v>
      </c>
      <c r="BN41" s="10">
        <v>1.9219999999999999</v>
      </c>
      <c r="BV41" s="10">
        <v>505.709</v>
      </c>
      <c r="CD41" s="10">
        <v>4.9580000000000002</v>
      </c>
      <c r="CL41" s="10">
        <v>2.58</v>
      </c>
      <c r="CT41" s="10">
        <v>50</v>
      </c>
      <c r="DB41" s="10">
        <v>0.49</v>
      </c>
      <c r="DJ41" s="10">
        <v>230</v>
      </c>
      <c r="DR41" s="10">
        <v>2.2549999999999999</v>
      </c>
      <c r="DZ41" s="10">
        <v>0.52500000000000002</v>
      </c>
    </row>
    <row r="42" spans="2:130" s="10" customFormat="1" x14ac:dyDescent="0.25">
      <c r="B42" s="10">
        <v>111</v>
      </c>
      <c r="J42" s="10">
        <v>247.52</v>
      </c>
      <c r="R42" s="10">
        <v>2.23</v>
      </c>
      <c r="Z42" s="10">
        <v>1051.4169999999999</v>
      </c>
      <c r="AH42" s="10">
        <v>9.4719999999999995</v>
      </c>
      <c r="AP42" s="10">
        <v>3.3090000000000002</v>
      </c>
      <c r="AX42" s="10">
        <v>3.2770000000000001</v>
      </c>
      <c r="BF42" s="10">
        <v>186</v>
      </c>
      <c r="BN42" s="10">
        <v>1.6759999999999999</v>
      </c>
      <c r="BV42" s="10">
        <v>415.31799999999998</v>
      </c>
      <c r="CD42" s="10">
        <v>3.742</v>
      </c>
      <c r="CL42" s="10">
        <v>2.2330000000000001</v>
      </c>
      <c r="CT42" s="10">
        <v>40</v>
      </c>
      <c r="DB42" s="10">
        <v>0.36</v>
      </c>
      <c r="DJ42" s="10">
        <v>239</v>
      </c>
      <c r="DR42" s="10">
        <v>2.153</v>
      </c>
      <c r="DZ42" s="10">
        <v>0.52900000000000003</v>
      </c>
    </row>
    <row r="43" spans="2:130" s="10" customFormat="1" x14ac:dyDescent="0.25">
      <c r="B43" s="10">
        <v>116</v>
      </c>
      <c r="J43" s="10">
        <v>358.26400000000001</v>
      </c>
      <c r="R43" s="10">
        <v>3.0880000000000001</v>
      </c>
      <c r="Z43" s="10">
        <v>1519.396</v>
      </c>
      <c r="AH43" s="10">
        <v>13.098000000000001</v>
      </c>
      <c r="AP43" s="10">
        <v>4.3440000000000003</v>
      </c>
      <c r="AX43" s="10">
        <v>4.5140000000000002</v>
      </c>
      <c r="BF43" s="10">
        <v>192</v>
      </c>
      <c r="BN43" s="10">
        <v>1.655</v>
      </c>
      <c r="BV43" s="10">
        <v>659.56600000000003</v>
      </c>
      <c r="CD43" s="10">
        <v>5.6859999999999999</v>
      </c>
      <c r="CL43" s="10">
        <v>3.4350000000000001</v>
      </c>
      <c r="CT43" s="10">
        <v>40</v>
      </c>
      <c r="DB43" s="10">
        <v>0.34499999999999997</v>
      </c>
      <c r="DJ43" s="10">
        <v>247</v>
      </c>
      <c r="DR43" s="10">
        <v>2.129</v>
      </c>
      <c r="DZ43" s="10">
        <v>0.52400000000000002</v>
      </c>
    </row>
    <row r="44" spans="2:130" s="10" customFormat="1" x14ac:dyDescent="0.25">
      <c r="B44" s="10">
        <v>85</v>
      </c>
      <c r="J44" s="10">
        <v>138.77799999999999</v>
      </c>
      <c r="R44" s="10">
        <v>1.633</v>
      </c>
      <c r="Z44" s="10">
        <v>604.62900000000002</v>
      </c>
      <c r="AH44" s="10">
        <v>7.1130000000000004</v>
      </c>
      <c r="AP44" s="10">
        <v>2.722</v>
      </c>
      <c r="AX44" s="10">
        <v>2.536</v>
      </c>
      <c r="BF44" s="10">
        <v>124</v>
      </c>
      <c r="BN44" s="10">
        <v>1.4590000000000001</v>
      </c>
      <c r="BV44" s="10">
        <v>215.76499999999999</v>
      </c>
      <c r="CD44" s="10">
        <v>2.5379999999999998</v>
      </c>
      <c r="CL44" s="10">
        <v>1.74</v>
      </c>
      <c r="CT44" s="10">
        <v>20</v>
      </c>
      <c r="DB44" s="10">
        <v>0.23499999999999999</v>
      </c>
      <c r="DJ44" s="10">
        <v>171</v>
      </c>
      <c r="DR44" s="10">
        <v>2.012</v>
      </c>
      <c r="DZ44" s="10">
        <v>0.52900000000000003</v>
      </c>
    </row>
    <row r="45" spans="2:130" s="47" customFormat="1" x14ac:dyDescent="0.25">
      <c r="B45" s="47">
        <v>116</v>
      </c>
      <c r="J45" s="58">
        <v>225.922</v>
      </c>
      <c r="R45" s="58">
        <v>1.948</v>
      </c>
      <c r="Z45" s="58">
        <v>991.17899999999997</v>
      </c>
      <c r="AH45" s="58">
        <v>8.5449999999999999</v>
      </c>
      <c r="AP45" s="58">
        <v>3.2909999999999999</v>
      </c>
      <c r="AX45" s="58">
        <v>3.0680000000000001</v>
      </c>
      <c r="BF45" s="58">
        <v>160</v>
      </c>
      <c r="BN45" s="58">
        <v>1.379</v>
      </c>
      <c r="BV45" s="58">
        <v>386.07299999999998</v>
      </c>
      <c r="CD45" s="58">
        <v>3.3279999999999998</v>
      </c>
      <c r="CL45" s="58">
        <v>2.4129999999999998</v>
      </c>
      <c r="CT45" s="58">
        <v>23</v>
      </c>
      <c r="DB45" s="58">
        <v>0.19800000000000001</v>
      </c>
      <c r="DJ45" s="58">
        <v>235</v>
      </c>
      <c r="DR45" s="58">
        <v>2.0259999999999998</v>
      </c>
      <c r="DZ45" s="58">
        <v>0.52500000000000002</v>
      </c>
    </row>
    <row r="46" spans="2:130" s="47" customFormat="1" x14ac:dyDescent="0.25">
      <c r="B46" s="47">
        <v>109</v>
      </c>
      <c r="J46" s="58">
        <v>158.666</v>
      </c>
      <c r="R46" s="58">
        <v>1.456</v>
      </c>
      <c r="Z46" s="58">
        <v>739.08100000000002</v>
      </c>
      <c r="AH46" s="58">
        <v>6.7809999999999997</v>
      </c>
      <c r="AP46" s="58">
        <v>2.81</v>
      </c>
      <c r="AX46" s="58">
        <v>2.585</v>
      </c>
      <c r="BF46" s="58">
        <v>161</v>
      </c>
      <c r="BN46" s="58">
        <v>1.4770000000000001</v>
      </c>
      <c r="BV46" s="58">
        <v>272.02300000000002</v>
      </c>
      <c r="CD46" s="58">
        <v>2.496</v>
      </c>
      <c r="CL46" s="58">
        <v>1.69</v>
      </c>
      <c r="CT46" s="58">
        <v>26</v>
      </c>
      <c r="DB46" s="58">
        <v>0.23899999999999999</v>
      </c>
      <c r="DJ46" s="58">
        <v>232</v>
      </c>
      <c r="DR46" s="58">
        <v>2.1280000000000001</v>
      </c>
      <c r="DZ46" s="58">
        <v>0.50700000000000001</v>
      </c>
    </row>
    <row r="47" spans="2:130" s="47" customFormat="1" x14ac:dyDescent="0.25">
      <c r="B47" s="47">
        <v>125</v>
      </c>
      <c r="J47" s="58">
        <v>195.65100000000001</v>
      </c>
      <c r="R47" s="58">
        <v>1.5649999999999999</v>
      </c>
      <c r="Z47" s="58">
        <v>853.80100000000004</v>
      </c>
      <c r="AH47" s="58">
        <v>6.83</v>
      </c>
      <c r="AP47" s="58">
        <v>2.702</v>
      </c>
      <c r="AX47" s="58">
        <v>2.4630000000000001</v>
      </c>
      <c r="BF47" s="58">
        <v>163</v>
      </c>
      <c r="BN47" s="58">
        <v>1.304</v>
      </c>
      <c r="BV47" s="58">
        <v>298.928</v>
      </c>
      <c r="CD47" s="58">
        <v>2.391</v>
      </c>
      <c r="CL47" s="58">
        <v>1.8340000000000001</v>
      </c>
      <c r="CT47" s="58">
        <v>19</v>
      </c>
      <c r="DB47" s="58">
        <v>0.152</v>
      </c>
      <c r="DJ47" s="58">
        <v>252</v>
      </c>
      <c r="DR47" s="58">
        <v>2.016</v>
      </c>
      <c r="DZ47" s="58">
        <v>0.53700000000000003</v>
      </c>
    </row>
    <row r="48" spans="2:130" s="47" customFormat="1" x14ac:dyDescent="0.25">
      <c r="B48" s="47">
        <v>99</v>
      </c>
      <c r="J48" s="58">
        <v>214.221</v>
      </c>
      <c r="R48" s="58">
        <v>2.1640000000000001</v>
      </c>
      <c r="Z48" s="58">
        <v>922.95299999999997</v>
      </c>
      <c r="AH48" s="58">
        <v>9.3230000000000004</v>
      </c>
      <c r="AP48" s="58">
        <v>3.8319999999999999</v>
      </c>
      <c r="AX48" s="58">
        <v>3.2970000000000002</v>
      </c>
      <c r="BF48" s="58">
        <v>173</v>
      </c>
      <c r="BN48" s="58">
        <v>1.7470000000000001</v>
      </c>
      <c r="BV48" s="58">
        <v>365.09800000000001</v>
      </c>
      <c r="CD48" s="58">
        <v>3.6880000000000002</v>
      </c>
      <c r="CL48" s="58">
        <v>2.11</v>
      </c>
      <c r="CT48" s="58">
        <v>38</v>
      </c>
      <c r="DB48" s="58">
        <v>0.38400000000000001</v>
      </c>
      <c r="DJ48" s="58">
        <v>224</v>
      </c>
      <c r="DR48" s="58">
        <v>2.2629999999999999</v>
      </c>
      <c r="DZ48" s="58">
        <v>0.53500000000000003</v>
      </c>
    </row>
    <row r="49" spans="1:135" s="47" customFormat="1" x14ac:dyDescent="0.25">
      <c r="B49" s="47">
        <v>92</v>
      </c>
      <c r="J49" s="58">
        <v>145.708</v>
      </c>
      <c r="R49" s="58">
        <v>1.5840000000000001</v>
      </c>
      <c r="Z49" s="58">
        <v>647.71500000000003</v>
      </c>
      <c r="AH49" s="58">
        <v>7.04</v>
      </c>
      <c r="AP49" s="58">
        <v>2.839</v>
      </c>
      <c r="AX49" s="58">
        <v>2.5979999999999999</v>
      </c>
      <c r="BF49" s="58">
        <v>127</v>
      </c>
      <c r="BN49" s="58">
        <v>1.38</v>
      </c>
      <c r="BV49" s="58">
        <v>240.86</v>
      </c>
      <c r="CD49" s="58">
        <v>2.6179999999999999</v>
      </c>
      <c r="CL49" s="58">
        <v>1.897</v>
      </c>
      <c r="CT49" s="58">
        <v>18</v>
      </c>
      <c r="DB49" s="58">
        <v>0.19600000000000001</v>
      </c>
      <c r="DJ49" s="58">
        <v>190</v>
      </c>
      <c r="DR49" s="58">
        <v>2.0649999999999999</v>
      </c>
      <c r="DZ49" s="58">
        <v>0.52200000000000002</v>
      </c>
    </row>
    <row r="50" spans="1:135" s="47" customFormat="1" x14ac:dyDescent="0.25">
      <c r="B50" s="47">
        <v>118</v>
      </c>
      <c r="J50" s="58">
        <v>169.72</v>
      </c>
      <c r="R50" s="58">
        <v>1.4379999999999999</v>
      </c>
      <c r="Z50" s="58">
        <v>782.29300000000001</v>
      </c>
      <c r="AH50" s="58">
        <v>6.63</v>
      </c>
      <c r="AP50" s="58">
        <v>3.2869999999999999</v>
      </c>
      <c r="AX50" s="58">
        <v>2.5</v>
      </c>
      <c r="BF50" s="58">
        <v>140</v>
      </c>
      <c r="BN50" s="58">
        <v>1.1859999999999999</v>
      </c>
      <c r="BV50" s="58">
        <v>277.71800000000002</v>
      </c>
      <c r="CD50" s="58">
        <v>2.3540000000000001</v>
      </c>
      <c r="CL50" s="58">
        <v>1.984</v>
      </c>
      <c r="CT50" s="58">
        <v>11</v>
      </c>
      <c r="DB50" s="58">
        <v>9.2999999999999999E-2</v>
      </c>
      <c r="DJ50" s="58">
        <v>238</v>
      </c>
      <c r="DR50" s="58">
        <v>2.0169999999999999</v>
      </c>
      <c r="DZ50" s="58">
        <v>0.51700000000000002</v>
      </c>
    </row>
    <row r="51" spans="1:135" s="47" customFormat="1" x14ac:dyDescent="0.25">
      <c r="B51" s="47">
        <v>97</v>
      </c>
      <c r="J51" s="58">
        <v>136.041</v>
      </c>
      <c r="R51" s="58">
        <v>1.4019999999999999</v>
      </c>
      <c r="Z51" s="58">
        <v>642.36300000000006</v>
      </c>
      <c r="AH51" s="58">
        <v>6.6219999999999999</v>
      </c>
      <c r="AP51" s="58">
        <v>2.5640000000000001</v>
      </c>
      <c r="AX51" s="58">
        <v>2.5790000000000002</v>
      </c>
      <c r="BF51" s="58">
        <v>153</v>
      </c>
      <c r="BN51" s="58">
        <v>1.577</v>
      </c>
      <c r="BV51" s="58">
        <v>237.102</v>
      </c>
      <c r="CD51" s="58">
        <v>2.444</v>
      </c>
      <c r="CL51" s="58">
        <v>1.55</v>
      </c>
      <c r="CT51" s="58">
        <v>29</v>
      </c>
      <c r="DB51" s="58">
        <v>0.29899999999999999</v>
      </c>
      <c r="DJ51" s="58">
        <v>204</v>
      </c>
      <c r="DR51" s="58">
        <v>2.1030000000000002</v>
      </c>
      <c r="DZ51" s="58">
        <v>0.496</v>
      </c>
    </row>
    <row r="52" spans="1:135" s="47" customFormat="1" x14ac:dyDescent="0.25">
      <c r="B52" s="47">
        <v>137</v>
      </c>
      <c r="J52" s="58">
        <v>229.70599999999999</v>
      </c>
      <c r="R52" s="58">
        <v>1.677</v>
      </c>
      <c r="Z52" s="58">
        <v>1071.8510000000001</v>
      </c>
      <c r="AH52" s="58">
        <v>7.8239999999999998</v>
      </c>
      <c r="AP52" s="58">
        <v>3.8969999999999998</v>
      </c>
      <c r="AX52" s="58">
        <v>2.99</v>
      </c>
      <c r="BF52" s="58">
        <v>180</v>
      </c>
      <c r="BN52" s="58">
        <v>1.3140000000000001</v>
      </c>
      <c r="BV52" s="58">
        <v>415.07400000000001</v>
      </c>
      <c r="CD52" s="58">
        <v>3.03</v>
      </c>
      <c r="CL52" s="58">
        <v>2.306</v>
      </c>
      <c r="CT52" s="58">
        <v>22</v>
      </c>
      <c r="DB52" s="58">
        <v>0.161</v>
      </c>
      <c r="DJ52" s="58">
        <v>285</v>
      </c>
      <c r="DR52" s="58">
        <v>2.08</v>
      </c>
      <c r="DZ52" s="58">
        <v>0.503</v>
      </c>
    </row>
    <row r="53" spans="1:135" s="7" customFormat="1" x14ac:dyDescent="0.25">
      <c r="I53" s="10"/>
    </row>
    <row r="54" spans="1:135" s="7" customFormat="1" x14ac:dyDescent="0.25">
      <c r="I54" s="10"/>
    </row>
    <row r="55" spans="1:135" s="7" customFormat="1" x14ac:dyDescent="0.25">
      <c r="I55" s="10"/>
    </row>
    <row r="56" spans="1:135" s="7" customFormat="1" x14ac:dyDescent="0.25">
      <c r="I56" s="10"/>
    </row>
    <row r="57" spans="1:135" x14ac:dyDescent="0.25">
      <c r="B57" s="11" t="s">
        <v>59</v>
      </c>
      <c r="C57" s="11" t="s">
        <v>89</v>
      </c>
      <c r="D57" s="11" t="s">
        <v>90</v>
      </c>
      <c r="E57" s="11" t="s">
        <v>91</v>
      </c>
      <c r="F57" s="11">
        <v>1506257</v>
      </c>
      <c r="G57" s="11" t="s">
        <v>92</v>
      </c>
      <c r="I57"/>
      <c r="J57" s="11" t="s">
        <v>59</v>
      </c>
      <c r="K57" s="11" t="s">
        <v>89</v>
      </c>
      <c r="L57" s="11" t="s">
        <v>90</v>
      </c>
      <c r="M57" s="11" t="s">
        <v>91</v>
      </c>
      <c r="N57" s="11">
        <v>1506257</v>
      </c>
      <c r="O57" s="11" t="s">
        <v>92</v>
      </c>
      <c r="R57" s="11" t="s">
        <v>59</v>
      </c>
      <c r="S57" s="11" t="s">
        <v>89</v>
      </c>
      <c r="T57" s="11" t="s">
        <v>90</v>
      </c>
      <c r="U57" s="11" t="s">
        <v>91</v>
      </c>
      <c r="V57" s="11">
        <v>1506257</v>
      </c>
      <c r="W57" s="11" t="s">
        <v>92</v>
      </c>
      <c r="Z57" s="11" t="s">
        <v>59</v>
      </c>
      <c r="AA57" s="11" t="s">
        <v>89</v>
      </c>
      <c r="AB57" s="11" t="s">
        <v>90</v>
      </c>
      <c r="AC57" s="11" t="s">
        <v>91</v>
      </c>
      <c r="AD57" s="11">
        <v>1506257</v>
      </c>
      <c r="AE57" s="11" t="s">
        <v>92</v>
      </c>
      <c r="AH57" s="11" t="s">
        <v>59</v>
      </c>
      <c r="AI57" s="11" t="s">
        <v>89</v>
      </c>
      <c r="AJ57" s="11" t="s">
        <v>90</v>
      </c>
      <c r="AK57" s="11" t="s">
        <v>91</v>
      </c>
      <c r="AL57" s="11">
        <v>1506257</v>
      </c>
      <c r="AM57" s="11" t="s">
        <v>92</v>
      </c>
      <c r="AP57" s="11" t="s">
        <v>59</v>
      </c>
      <c r="AQ57" s="11" t="s">
        <v>89</v>
      </c>
      <c r="AR57" s="11" t="s">
        <v>90</v>
      </c>
      <c r="AS57" s="11" t="s">
        <v>91</v>
      </c>
      <c r="AT57" s="11">
        <v>1506257</v>
      </c>
      <c r="AU57" s="11" t="s">
        <v>92</v>
      </c>
      <c r="AX57" s="11" t="s">
        <v>59</v>
      </c>
      <c r="AY57" s="11" t="s">
        <v>89</v>
      </c>
      <c r="AZ57" s="11" t="s">
        <v>90</v>
      </c>
      <c r="BA57" s="11" t="s">
        <v>91</v>
      </c>
      <c r="BB57" s="11">
        <v>1506257</v>
      </c>
      <c r="BC57" s="11" t="s">
        <v>92</v>
      </c>
      <c r="BF57" s="11" t="s">
        <v>59</v>
      </c>
      <c r="BG57" s="11" t="s">
        <v>89</v>
      </c>
      <c r="BH57" s="11" t="s">
        <v>90</v>
      </c>
      <c r="BI57" s="11" t="s">
        <v>91</v>
      </c>
      <c r="BJ57" s="11">
        <v>1506257</v>
      </c>
      <c r="BK57" s="11" t="s">
        <v>92</v>
      </c>
      <c r="BN57" s="11" t="s">
        <v>59</v>
      </c>
      <c r="BO57" s="11" t="s">
        <v>89</v>
      </c>
      <c r="BP57" s="11" t="s">
        <v>90</v>
      </c>
      <c r="BQ57" s="11" t="s">
        <v>91</v>
      </c>
      <c r="BR57" s="11">
        <v>1506257</v>
      </c>
      <c r="BS57" s="11" t="s">
        <v>92</v>
      </c>
      <c r="BV57" s="11" t="s">
        <v>59</v>
      </c>
      <c r="BW57" s="11" t="s">
        <v>89</v>
      </c>
      <c r="BX57" s="11" t="s">
        <v>90</v>
      </c>
      <c r="BY57" s="11" t="s">
        <v>91</v>
      </c>
      <c r="BZ57" s="11">
        <v>1506257</v>
      </c>
      <c r="CA57" s="11" t="s">
        <v>92</v>
      </c>
      <c r="CD57" s="11" t="s">
        <v>59</v>
      </c>
      <c r="CE57" s="11" t="s">
        <v>89</v>
      </c>
      <c r="CF57" s="11" t="s">
        <v>90</v>
      </c>
      <c r="CG57" s="11" t="s">
        <v>91</v>
      </c>
      <c r="CH57" s="11">
        <v>1506257</v>
      </c>
      <c r="CI57" s="11" t="s">
        <v>92</v>
      </c>
      <c r="CL57" s="11" t="s">
        <v>59</v>
      </c>
      <c r="CM57" s="11" t="s">
        <v>89</v>
      </c>
      <c r="CN57" s="11" t="s">
        <v>90</v>
      </c>
      <c r="CO57" s="11" t="s">
        <v>91</v>
      </c>
      <c r="CP57" s="11">
        <v>1506257</v>
      </c>
      <c r="CQ57" s="11" t="s">
        <v>92</v>
      </c>
      <c r="CT57" s="11" t="s">
        <v>59</v>
      </c>
      <c r="CU57" s="11" t="s">
        <v>89</v>
      </c>
      <c r="CV57" s="11" t="s">
        <v>90</v>
      </c>
      <c r="CW57" s="11" t="s">
        <v>91</v>
      </c>
      <c r="CX57" s="11">
        <v>1506257</v>
      </c>
      <c r="CY57" s="11" t="s">
        <v>92</v>
      </c>
      <c r="DB57" s="11" t="s">
        <v>59</v>
      </c>
      <c r="DC57" s="11" t="s">
        <v>89</v>
      </c>
      <c r="DD57" s="11" t="s">
        <v>90</v>
      </c>
      <c r="DE57" s="11" t="s">
        <v>91</v>
      </c>
      <c r="DF57" s="11">
        <v>1506257</v>
      </c>
      <c r="DG57" s="11" t="s">
        <v>92</v>
      </c>
      <c r="DJ57" s="11" t="s">
        <v>59</v>
      </c>
      <c r="DK57" s="11" t="s">
        <v>89</v>
      </c>
      <c r="DL57" s="11" t="s">
        <v>90</v>
      </c>
      <c r="DM57" s="11" t="s">
        <v>91</v>
      </c>
      <c r="DN57" s="11">
        <v>1506257</v>
      </c>
      <c r="DO57" s="11" t="s">
        <v>92</v>
      </c>
      <c r="DR57" s="11" t="s">
        <v>59</v>
      </c>
      <c r="DS57" s="11" t="s">
        <v>89</v>
      </c>
      <c r="DT57" s="11" t="s">
        <v>90</v>
      </c>
      <c r="DU57" s="11" t="s">
        <v>91</v>
      </c>
      <c r="DV57" s="11">
        <v>1506257</v>
      </c>
      <c r="DW57" s="11" t="s">
        <v>92</v>
      </c>
      <c r="DZ57" s="11" t="s">
        <v>59</v>
      </c>
      <c r="EA57" s="11" t="s">
        <v>89</v>
      </c>
      <c r="EB57" s="11" t="s">
        <v>90</v>
      </c>
      <c r="EC57" s="11" t="s">
        <v>91</v>
      </c>
      <c r="ED57" s="11">
        <v>1506257</v>
      </c>
      <c r="EE57" s="11" t="s">
        <v>92</v>
      </c>
    </row>
    <row r="58" spans="1:135" x14ac:dyDescent="0.25">
      <c r="A58" s="21" t="s">
        <v>62</v>
      </c>
      <c r="B58" s="26">
        <f>AVERAGE(B3:B56)</f>
        <v>117.32</v>
      </c>
      <c r="C58" s="27">
        <f t="shared" ref="C58:G58" si="0">AVERAGE(C3:C56)</f>
        <v>131.78571428571428</v>
      </c>
      <c r="D58" s="27">
        <f t="shared" si="0"/>
        <v>246.45454545454547</v>
      </c>
      <c r="E58" s="27">
        <f t="shared" si="0"/>
        <v>323</v>
      </c>
      <c r="F58" s="27">
        <f t="shared" si="0"/>
        <v>313.92307692307691</v>
      </c>
      <c r="G58" s="28">
        <f t="shared" si="0"/>
        <v>131.27272727272728</v>
      </c>
      <c r="I58" s="21" t="s">
        <v>62</v>
      </c>
      <c r="J58" s="26">
        <f t="shared" ref="J58:O58" si="1">AVERAGE(J3:J56)</f>
        <v>206.20545999999996</v>
      </c>
      <c r="K58" s="27">
        <f t="shared" si="1"/>
        <v>275.89357142857142</v>
      </c>
      <c r="L58" s="27">
        <f t="shared" si="1"/>
        <v>490.64554545454541</v>
      </c>
      <c r="M58" s="27">
        <f t="shared" si="1"/>
        <v>494.64660000000003</v>
      </c>
      <c r="N58" s="27">
        <f t="shared" si="1"/>
        <v>575.98015384615383</v>
      </c>
      <c r="O58" s="28">
        <f t="shared" si="1"/>
        <v>306.72545454545457</v>
      </c>
      <c r="Q58" s="21" t="s">
        <v>62</v>
      </c>
      <c r="R58" s="26">
        <f t="shared" ref="R58:W58" si="2">AVERAGE(R3:R56)</f>
        <v>1.8185</v>
      </c>
      <c r="S58" s="27">
        <f t="shared" si="2"/>
        <v>2.233714285714286</v>
      </c>
      <c r="T58" s="27">
        <f t="shared" si="2"/>
        <v>2.1969090909090907</v>
      </c>
      <c r="U58" s="27">
        <f t="shared" si="2"/>
        <v>1.6902000000000001</v>
      </c>
      <c r="V58" s="27">
        <f t="shared" si="2"/>
        <v>2.3976923076923082</v>
      </c>
      <c r="W58" s="28">
        <f t="shared" si="2"/>
        <v>2.2755454545454548</v>
      </c>
      <c r="Y58" s="21" t="s">
        <v>62</v>
      </c>
      <c r="Z58" s="26">
        <f t="shared" ref="Z58:AE58" si="3">AVERAGE(Z3:Z56)</f>
        <v>933.2134199999997</v>
      </c>
      <c r="AA58" s="27">
        <f t="shared" si="3"/>
        <v>1293.7501428571429</v>
      </c>
      <c r="AB58" s="27">
        <f t="shared" si="3"/>
        <v>2328.8506363636361</v>
      </c>
      <c r="AC58" s="27">
        <f t="shared" si="3"/>
        <v>2427.3011000000001</v>
      </c>
      <c r="AD58" s="27">
        <f t="shared" si="3"/>
        <v>2802.7840769230761</v>
      </c>
      <c r="AE58" s="28">
        <f t="shared" si="3"/>
        <v>1393.6135454545456</v>
      </c>
      <c r="AG58" s="21" t="s">
        <v>62</v>
      </c>
      <c r="AH58" s="26">
        <f t="shared" ref="AH58:AM58" si="4">AVERAGE(AH3:AH56)</f>
        <v>8.1723400000000002</v>
      </c>
      <c r="AI58" s="27">
        <f t="shared" si="4"/>
        <v>10.365428571428572</v>
      </c>
      <c r="AJ58" s="27">
        <f t="shared" si="4"/>
        <v>10.234363636363637</v>
      </c>
      <c r="AK58" s="27">
        <f t="shared" si="4"/>
        <v>8.1827000000000005</v>
      </c>
      <c r="AL58" s="27">
        <f t="shared" si="4"/>
        <v>11.01530769230769</v>
      </c>
      <c r="AM58" s="28">
        <f t="shared" si="4"/>
        <v>10.364181818181819</v>
      </c>
      <c r="AO58" s="21" t="s">
        <v>62</v>
      </c>
      <c r="AP58" s="26">
        <f t="shared" ref="AP58:AU58" si="5">AVERAGE(AP3:AP56)</f>
        <v>3.2517999999999994</v>
      </c>
      <c r="AQ58" s="27">
        <f t="shared" si="5"/>
        <v>3.4647857142857146</v>
      </c>
      <c r="AR58" s="27">
        <f t="shared" si="5"/>
        <v>3.3683636363636364</v>
      </c>
      <c r="AS58" s="27">
        <f t="shared" si="5"/>
        <v>3.3024</v>
      </c>
      <c r="AT58" s="27">
        <f t="shared" si="5"/>
        <v>3.4192307692307695</v>
      </c>
      <c r="AU58" s="28">
        <f t="shared" si="5"/>
        <v>3.2712727272727267</v>
      </c>
      <c r="AW58" s="21" t="s">
        <v>62</v>
      </c>
      <c r="AX58" s="26">
        <f t="shared" ref="AX58:BC58" si="6">AVERAGE(AX3:AX56)</f>
        <v>3.0215600000000005</v>
      </c>
      <c r="AY58" s="27">
        <f t="shared" si="6"/>
        <v>3.9774285714285713</v>
      </c>
      <c r="AZ58" s="27">
        <f t="shared" si="6"/>
        <v>3.9386363636363639</v>
      </c>
      <c r="BA58" s="27">
        <f t="shared" si="6"/>
        <v>3.2836999999999996</v>
      </c>
      <c r="BB58" s="27">
        <f t="shared" si="6"/>
        <v>4.2409230769230764</v>
      </c>
      <c r="BC58" s="28">
        <f t="shared" si="6"/>
        <v>3.8980909090909095</v>
      </c>
      <c r="BE58" s="21" t="s">
        <v>62</v>
      </c>
      <c r="BF58" s="26">
        <f t="shared" ref="BF58:BK58" si="7">AVERAGE(BF3:BF56)</f>
        <v>173.56</v>
      </c>
      <c r="BG58" s="27">
        <f t="shared" si="7"/>
        <v>236.64285714285714</v>
      </c>
      <c r="BH58" s="27">
        <f t="shared" si="7"/>
        <v>417.09090909090907</v>
      </c>
      <c r="BI58" s="27">
        <f t="shared" si="7"/>
        <v>474.3</v>
      </c>
      <c r="BJ58" s="27">
        <f t="shared" si="7"/>
        <v>536.15384615384619</v>
      </c>
      <c r="BK58" s="28">
        <f t="shared" si="7"/>
        <v>250</v>
      </c>
      <c r="BM58" s="21" t="s">
        <v>62</v>
      </c>
      <c r="BN58" s="26">
        <f t="shared" ref="BN58:BS58" si="8">AVERAGE(BN3:BN56)</f>
        <v>1.5164999999999997</v>
      </c>
      <c r="BO58" s="27">
        <f t="shared" si="8"/>
        <v>1.8893571428571427</v>
      </c>
      <c r="BP58" s="27">
        <f t="shared" si="8"/>
        <v>1.8044545454545451</v>
      </c>
      <c r="BQ58" s="27">
        <f t="shared" si="8"/>
        <v>1.5279</v>
      </c>
      <c r="BR58" s="27">
        <f t="shared" si="8"/>
        <v>2.017615384615385</v>
      </c>
      <c r="BS58" s="28">
        <f t="shared" si="8"/>
        <v>1.8915454545454544</v>
      </c>
      <c r="BU58" s="21" t="s">
        <v>62</v>
      </c>
      <c r="BV58" s="26">
        <f t="shared" ref="BV58:CA58" si="9">AVERAGE(BV3:BV56)</f>
        <v>361.03048000000013</v>
      </c>
      <c r="BW58" s="27">
        <f t="shared" si="9"/>
        <v>554.85457142857149</v>
      </c>
      <c r="BX58" s="27">
        <f t="shared" si="9"/>
        <v>983.54754545454534</v>
      </c>
      <c r="BY58" s="27">
        <f t="shared" si="9"/>
        <v>971.43539999999996</v>
      </c>
      <c r="BZ58" s="27">
        <f t="shared" si="9"/>
        <v>1210.9867692307691</v>
      </c>
      <c r="CA58" s="28">
        <f t="shared" si="9"/>
        <v>609.38027272727277</v>
      </c>
      <c r="CC58" s="21" t="s">
        <v>62</v>
      </c>
      <c r="CD58" s="26">
        <f t="shared" ref="CD58:CI58" si="10">AVERAGE(CD3:CD56)</f>
        <v>3.1871400000000008</v>
      </c>
      <c r="CE58" s="27">
        <f t="shared" si="10"/>
        <v>4.5058571428571428</v>
      </c>
      <c r="CF58" s="27">
        <f t="shared" si="10"/>
        <v>4.4215454545454547</v>
      </c>
      <c r="CG58" s="27">
        <f t="shared" si="10"/>
        <v>3.3286000000000002</v>
      </c>
      <c r="CH58" s="27">
        <f t="shared" si="10"/>
        <v>5.0440769230769229</v>
      </c>
      <c r="CI58" s="28">
        <f t="shared" si="10"/>
        <v>4.489727272727273</v>
      </c>
      <c r="CK58" s="21" t="s">
        <v>62</v>
      </c>
      <c r="CL58" s="26">
        <f t="shared" ref="CL58:CQ58" si="11">AVERAGE(CL3:CL56)</f>
        <v>2.0820800000000004</v>
      </c>
      <c r="CM58" s="27">
        <f t="shared" si="11"/>
        <v>2.3772142857142855</v>
      </c>
      <c r="CN58" s="27">
        <f t="shared" si="11"/>
        <v>2.4105454545454545</v>
      </c>
      <c r="CO58" s="27">
        <f t="shared" si="11"/>
        <v>2.1224999999999996</v>
      </c>
      <c r="CP58" s="27">
        <f t="shared" si="11"/>
        <v>2.4276153846153843</v>
      </c>
      <c r="CQ58" s="28">
        <f t="shared" si="11"/>
        <v>2.3505454545454545</v>
      </c>
      <c r="CS58" s="21" t="s">
        <v>62</v>
      </c>
      <c r="CT58" s="26">
        <f t="shared" ref="CT58:CY58" si="12">AVERAGE(CT3:CT56)</f>
        <v>29.34</v>
      </c>
      <c r="CU58" s="27">
        <f t="shared" si="12"/>
        <v>54.5</v>
      </c>
      <c r="CV58" s="27">
        <f t="shared" si="12"/>
        <v>88.36363636363636</v>
      </c>
      <c r="CW58" s="27">
        <f t="shared" si="12"/>
        <v>77.599999999999994</v>
      </c>
      <c r="CX58" s="27">
        <f t="shared" si="12"/>
        <v>115.07692307692308</v>
      </c>
      <c r="CY58" s="28">
        <f t="shared" si="12"/>
        <v>61.18181818181818</v>
      </c>
      <c r="DA58" s="21" t="s">
        <v>62</v>
      </c>
      <c r="DB58" s="26">
        <f t="shared" ref="DB58:DG58" si="13">AVERAGE(DB3:DB56)</f>
        <v>0.27035999999999999</v>
      </c>
      <c r="DC58" s="27">
        <f t="shared" si="13"/>
        <v>0.46385714285714291</v>
      </c>
      <c r="DD58" s="27">
        <f t="shared" si="13"/>
        <v>0.41863636363636358</v>
      </c>
      <c r="DE58" s="27">
        <f t="shared" si="13"/>
        <v>0.27060000000000001</v>
      </c>
      <c r="DF58" s="27">
        <f t="shared" si="13"/>
        <v>0.5326153846153846</v>
      </c>
      <c r="DG58" s="28">
        <f t="shared" si="13"/>
        <v>0.45799999999999996</v>
      </c>
      <c r="DI58" s="21" t="s">
        <v>62</v>
      </c>
      <c r="DJ58" s="26">
        <f t="shared" ref="DJ58:DO58" si="14">AVERAGE(DJ3:DJ56)</f>
        <v>246.12</v>
      </c>
      <c r="DK58" s="27">
        <f t="shared" si="14"/>
        <v>294.21428571428572</v>
      </c>
      <c r="DL58" s="27">
        <f t="shared" si="14"/>
        <v>535.4545454545455</v>
      </c>
      <c r="DM58" s="27">
        <f t="shared" si="14"/>
        <v>673.2</v>
      </c>
      <c r="DN58" s="27">
        <f t="shared" si="14"/>
        <v>689</v>
      </c>
      <c r="DO58" s="28">
        <f t="shared" si="14"/>
        <v>300.36363636363637</v>
      </c>
      <c r="DQ58" s="21" t="s">
        <v>62</v>
      </c>
      <c r="DR58" s="26">
        <f t="shared" ref="DR58:DW58" si="15">AVERAGE(DR3:DR56)</f>
        <v>2.1082200000000002</v>
      </c>
      <c r="DS58" s="27">
        <f t="shared" si="15"/>
        <v>2.268642857142857</v>
      </c>
      <c r="DT58" s="27">
        <f t="shared" si="15"/>
        <v>2.2189090909090905</v>
      </c>
      <c r="DU58" s="27">
        <f t="shared" si="15"/>
        <v>2.1193</v>
      </c>
      <c r="DV58" s="27">
        <f t="shared" si="15"/>
        <v>2.3113846153846151</v>
      </c>
      <c r="DW58" s="28">
        <f t="shared" si="15"/>
        <v>2.2818181818181817</v>
      </c>
      <c r="DY58" s="21" t="s">
        <v>62</v>
      </c>
      <c r="DZ58" s="26">
        <f t="shared" ref="DZ58:EE58" si="16">AVERAGE(DZ3:DZ56)</f>
        <v>0.51049999999999995</v>
      </c>
      <c r="EA58" s="27">
        <f t="shared" si="16"/>
        <v>0.4786428571428572</v>
      </c>
      <c r="EB58" s="27">
        <f t="shared" si="16"/>
        <v>0.48036363636363644</v>
      </c>
      <c r="EC58" s="27">
        <f t="shared" si="16"/>
        <v>0.4723</v>
      </c>
      <c r="ED58" s="27">
        <f t="shared" si="16"/>
        <v>0.46800000000000008</v>
      </c>
      <c r="EE58" s="28">
        <f t="shared" si="16"/>
        <v>0.48663636363636359</v>
      </c>
    </row>
    <row r="59" spans="1:135" x14ac:dyDescent="0.25">
      <c r="A59" s="22" t="s">
        <v>65</v>
      </c>
      <c r="B59" s="18">
        <f>B58/B58</f>
        <v>1</v>
      </c>
      <c r="C59" s="19">
        <f>C58/B58</f>
        <v>1.1233013491792898</v>
      </c>
      <c r="D59" s="19">
        <f>D58/B58</f>
        <v>2.1007035923503707</v>
      </c>
      <c r="E59" s="19">
        <f>E58/B58</f>
        <v>2.7531537674735769</v>
      </c>
      <c r="F59" s="19">
        <f>F58/B58</f>
        <v>2.6757848356893703</v>
      </c>
      <c r="G59" s="20">
        <f>G58/B58</f>
        <v>1.1189288038930045</v>
      </c>
      <c r="I59" s="22" t="s">
        <v>65</v>
      </c>
      <c r="J59" s="18">
        <f>J58/J58</f>
        <v>1</v>
      </c>
      <c r="K59" s="19">
        <f>K58/J58</f>
        <v>1.3379547342178595</v>
      </c>
      <c r="L59" s="19">
        <f>L58/J58</f>
        <v>2.3794013284349771</v>
      </c>
      <c r="M59" s="19">
        <f>M58/J58</f>
        <v>2.3988045709361923</v>
      </c>
      <c r="N59" s="19">
        <f>N58/J58</f>
        <v>2.793234252119968</v>
      </c>
      <c r="O59" s="20">
        <f>O58/J58</f>
        <v>1.4874749414756265</v>
      </c>
      <c r="Q59" s="22" t="s">
        <v>65</v>
      </c>
      <c r="R59" s="18">
        <f>R58/R58</f>
        <v>1</v>
      </c>
      <c r="S59" s="19">
        <f>S58/R58</f>
        <v>1.2283278997603992</v>
      </c>
      <c r="T59" s="19">
        <f>T58/R58</f>
        <v>1.2080885844977127</v>
      </c>
      <c r="U59" s="19">
        <f>U58/R58</f>
        <v>0.92944734671432505</v>
      </c>
      <c r="V59" s="19">
        <f>V58/R58</f>
        <v>1.3185000317252176</v>
      </c>
      <c r="W59" s="20">
        <f>W58/R58</f>
        <v>1.2513310170720124</v>
      </c>
      <c r="Y59" s="22" t="s">
        <v>65</v>
      </c>
      <c r="Z59" s="18">
        <f>Z58/Z58</f>
        <v>1</v>
      </c>
      <c r="AA59" s="19">
        <f>AA58/Z58</f>
        <v>1.3863389821988878</v>
      </c>
      <c r="AB59" s="19">
        <f>AB58/Z58</f>
        <v>2.4955177309426571</v>
      </c>
      <c r="AC59" s="19">
        <f>AC58/Z58</f>
        <v>2.6010139245532935</v>
      </c>
      <c r="AD59" s="19">
        <f>AD58/Z58</f>
        <v>3.0033688080943768</v>
      </c>
      <c r="AE59" s="20">
        <f>AE58/Z58</f>
        <v>1.4933492335060357</v>
      </c>
      <c r="AG59" s="22" t="s">
        <v>65</v>
      </c>
      <c r="AH59" s="18">
        <f>AH58/AH58</f>
        <v>1</v>
      </c>
      <c r="AI59" s="19">
        <f>AI58/AH58</f>
        <v>1.2683550331274238</v>
      </c>
      <c r="AJ59" s="19">
        <f>AJ58/AH58</f>
        <v>1.252317406809266</v>
      </c>
      <c r="AK59" s="19">
        <f>AK58/AH58</f>
        <v>1.0012676907715539</v>
      </c>
      <c r="AL59" s="19">
        <f>AL58/AH58</f>
        <v>1.3478768250351416</v>
      </c>
      <c r="AM59" s="20">
        <f>AM58/AH58</f>
        <v>1.268202475445444</v>
      </c>
      <c r="AO59" s="22" t="s">
        <v>65</v>
      </c>
      <c r="AP59" s="18">
        <f>AP58/AP58</f>
        <v>1</v>
      </c>
      <c r="AQ59" s="19">
        <f>AQ58/AP58</f>
        <v>1.0654977902348592</v>
      </c>
      <c r="AR59" s="19">
        <f>AR58/AP58</f>
        <v>1.0358458811623215</v>
      </c>
      <c r="AS59" s="19">
        <f>AS58/AP58</f>
        <v>1.0155606125837999</v>
      </c>
      <c r="AT59" s="19">
        <f>AT58/AP58</f>
        <v>1.0514886429764347</v>
      </c>
      <c r="AU59" s="20">
        <f>AU58/AP58</f>
        <v>1.0059882917992273</v>
      </c>
      <c r="AW59" s="22" t="s">
        <v>65</v>
      </c>
      <c r="AX59" s="18">
        <f>AX58/AX58</f>
        <v>1</v>
      </c>
      <c r="AY59" s="19">
        <f>AY58/AX58</f>
        <v>1.3163493597441622</v>
      </c>
      <c r="AZ59" s="19">
        <f>AZ58/AX58</f>
        <v>1.3035108896187277</v>
      </c>
      <c r="BA59" s="19">
        <f>BA58/AX58</f>
        <v>1.0867565098823122</v>
      </c>
      <c r="BB59" s="19">
        <f>BB58/AX58</f>
        <v>1.4035541498176689</v>
      </c>
      <c r="BC59" s="20">
        <f>BC58/AX58</f>
        <v>1.2900921739402524</v>
      </c>
      <c r="BE59" s="22" t="s">
        <v>65</v>
      </c>
      <c r="BF59" s="18">
        <f>BF58/BF58</f>
        <v>1</v>
      </c>
      <c r="BG59" s="19">
        <f>BG58/BF58</f>
        <v>1.3634642610213017</v>
      </c>
      <c r="BH59" s="19">
        <f>BH58/BF58</f>
        <v>2.403151124054558</v>
      </c>
      <c r="BI59" s="19">
        <f>BI58/BF58</f>
        <v>2.7327725282323114</v>
      </c>
      <c r="BJ59" s="19">
        <f>BJ58/BF58</f>
        <v>3.0891556012551633</v>
      </c>
      <c r="BK59" s="20">
        <f>BK58/BF58</f>
        <v>1.4404240608435124</v>
      </c>
      <c r="BM59" s="22" t="s">
        <v>65</v>
      </c>
      <c r="BN59" s="18">
        <f>BN58/BN58</f>
        <v>1</v>
      </c>
      <c r="BO59" s="19">
        <f>BO58/BN58</f>
        <v>1.2458668927511658</v>
      </c>
      <c r="BP59" s="19">
        <f>BP58/BN58</f>
        <v>1.1898810059047447</v>
      </c>
      <c r="BQ59" s="19">
        <f>BQ58/BN58</f>
        <v>1.0075173095944612</v>
      </c>
      <c r="BR59" s="19">
        <f>BR58/BN58</f>
        <v>1.3304420604123872</v>
      </c>
      <c r="BS59" s="20">
        <f>BS58/BN58</f>
        <v>1.2473098941941674</v>
      </c>
      <c r="BU59" s="22" t="s">
        <v>65</v>
      </c>
      <c r="BV59" s="18">
        <f>BV58/BV58</f>
        <v>1</v>
      </c>
      <c r="BW59" s="19">
        <f>BW58/BV58</f>
        <v>1.5368635119909302</v>
      </c>
      <c r="BX59" s="19">
        <f>BX58/BV58</f>
        <v>2.7242784195244263</v>
      </c>
      <c r="BY59" s="19">
        <f>BY58/BV58</f>
        <v>2.6907296026640179</v>
      </c>
      <c r="BZ59" s="19">
        <f>BZ58/BV58</f>
        <v>3.3542507802409611</v>
      </c>
      <c r="CA59" s="20">
        <f>CA58/BV58</f>
        <v>1.6878914841962167</v>
      </c>
      <c r="CC59" s="22" t="s">
        <v>65</v>
      </c>
      <c r="CD59" s="18">
        <f>CD58/CD58</f>
        <v>1</v>
      </c>
      <c r="CE59" s="19">
        <f>CE58/CD58</f>
        <v>1.4137619128300425</v>
      </c>
      <c r="CF59" s="19">
        <f>CF58/CD58</f>
        <v>1.3873081993716792</v>
      </c>
      <c r="CG59" s="19">
        <f>CG58/CD58</f>
        <v>1.0443846206944154</v>
      </c>
      <c r="CH59" s="19">
        <f>CH58/CD58</f>
        <v>1.5826342498531354</v>
      </c>
      <c r="CI59" s="20">
        <f>CI58/CD58</f>
        <v>1.4087009898301524</v>
      </c>
      <c r="CK59" s="22" t="s">
        <v>65</v>
      </c>
      <c r="CL59" s="18">
        <f>CL58/CL58</f>
        <v>1</v>
      </c>
      <c r="CM59" s="19">
        <f>CM58/CL58</f>
        <v>1.1417497337827005</v>
      </c>
      <c r="CN59" s="19">
        <f>CN58/CL58</f>
        <v>1.1577583255904933</v>
      </c>
      <c r="CO59" s="19">
        <f>CO58/CL58</f>
        <v>1.0194132790286632</v>
      </c>
      <c r="CP59" s="19">
        <f>CP58/CL58</f>
        <v>1.1659568242408476</v>
      </c>
      <c r="CQ59" s="20">
        <f>CQ58/CL58</f>
        <v>1.1289409890808491</v>
      </c>
      <c r="CS59" s="22" t="s">
        <v>65</v>
      </c>
      <c r="CT59" s="18">
        <f>CT58/CT58</f>
        <v>1</v>
      </c>
      <c r="CU59" s="19">
        <f>CU58/CT58</f>
        <v>1.8575323790047717</v>
      </c>
      <c r="CV59" s="19">
        <f>CV58/CT58</f>
        <v>3.0117122141662018</v>
      </c>
      <c r="CW59" s="19">
        <f>CW58/CT58</f>
        <v>2.6448534423994543</v>
      </c>
      <c r="CX59" s="19">
        <f>CX58/CT58</f>
        <v>3.9221855172775419</v>
      </c>
      <c r="CY59" s="20">
        <f>CY58/CT58</f>
        <v>2.0852698766809197</v>
      </c>
      <c r="DA59" s="22" t="s">
        <v>65</v>
      </c>
      <c r="DB59" s="18">
        <f>DB58/DB58</f>
        <v>1</v>
      </c>
      <c r="DC59" s="19">
        <f>DC58/DB58</f>
        <v>1.7157018155686601</v>
      </c>
      <c r="DD59" s="19">
        <f>DD58/DB58</f>
        <v>1.548440463220756</v>
      </c>
      <c r="DE59" s="19">
        <f>DE58/DB58</f>
        <v>1.0008877052818466</v>
      </c>
      <c r="DF59" s="19">
        <f>DF58/DB58</f>
        <v>1.9700228754822631</v>
      </c>
      <c r="DG59" s="20">
        <f>DG58/DB58</f>
        <v>1.694037579523598</v>
      </c>
      <c r="DI59" s="22" t="s">
        <v>65</v>
      </c>
      <c r="DJ59" s="18">
        <f>DJ58/DJ58</f>
        <v>1</v>
      </c>
      <c r="DK59" s="19">
        <f>DK58/DJ58</f>
        <v>1.195409904576165</v>
      </c>
      <c r="DL59" s="19">
        <f>DL58/DJ58</f>
        <v>2.1755832336037115</v>
      </c>
      <c r="DM59" s="19">
        <f>DM58/DJ58</f>
        <v>2.735251097025841</v>
      </c>
      <c r="DN59" s="19">
        <f>DN58/DJ58</f>
        <v>2.7994474240208027</v>
      </c>
      <c r="DO59" s="20">
        <f>DO58/DJ58</f>
        <v>1.2203950770503671</v>
      </c>
      <c r="DQ59" s="22" t="s">
        <v>65</v>
      </c>
      <c r="DR59" s="18">
        <f>DR58/DR58</f>
        <v>1</v>
      </c>
      <c r="DS59" s="19">
        <f>DS58/DR58</f>
        <v>1.0760939831435319</v>
      </c>
      <c r="DT59" s="19">
        <f>DT58/DR58</f>
        <v>1.0525035769080506</v>
      </c>
      <c r="DU59" s="19">
        <f>DU58/DR58</f>
        <v>1.0052556184838393</v>
      </c>
      <c r="DV59" s="19">
        <f>DV58/DR58</f>
        <v>1.0963678436712558</v>
      </c>
      <c r="DW59" s="20">
        <f>DW58/DR58</f>
        <v>1.0823434849390394</v>
      </c>
      <c r="DY59" s="22" t="s">
        <v>65</v>
      </c>
      <c r="DZ59" s="18">
        <f>DZ58/DZ58</f>
        <v>1</v>
      </c>
      <c r="EA59" s="19">
        <f>EA58/DZ58</f>
        <v>0.93759619420735996</v>
      </c>
      <c r="EB59" s="19">
        <f>EB58/DZ58</f>
        <v>0.94096696643219679</v>
      </c>
      <c r="EC59" s="19">
        <f>EC58/DZ58</f>
        <v>0.92517140058765923</v>
      </c>
      <c r="ED59" s="19">
        <f>ED58/DZ58</f>
        <v>0.91674828599412361</v>
      </c>
      <c r="EE59" s="20">
        <f>EE58/DZ58</f>
        <v>0.95325438518386607</v>
      </c>
    </row>
    <row r="60" spans="1:135" x14ac:dyDescent="0.25">
      <c r="A60" s="22" t="s">
        <v>63</v>
      </c>
      <c r="B60" s="23">
        <f t="shared" ref="B60:G60" si="17">STDEV(B3:B56)</f>
        <v>45.082436962180509</v>
      </c>
      <c r="C60" s="24">
        <f t="shared" si="17"/>
        <v>61.747847762466201</v>
      </c>
      <c r="D60" s="24">
        <f t="shared" si="17"/>
        <v>108.19090870897023</v>
      </c>
      <c r="E60" s="24">
        <f t="shared" si="17"/>
        <v>124.59802031600127</v>
      </c>
      <c r="F60" s="24">
        <f t="shared" si="17"/>
        <v>255.97443281783094</v>
      </c>
      <c r="G60" s="25">
        <f t="shared" si="17"/>
        <v>49.299271615493289</v>
      </c>
      <c r="I60" s="22" t="s">
        <v>63</v>
      </c>
      <c r="J60" s="23">
        <f t="shared" ref="J60:O60" si="18">STDEV(J3:J56)</f>
        <v>69.533792791474923</v>
      </c>
      <c r="K60" s="24">
        <f t="shared" si="18"/>
        <v>103.28862516844147</v>
      </c>
      <c r="L60" s="24">
        <f t="shared" si="18"/>
        <v>153.6100531914262</v>
      </c>
      <c r="M60" s="24">
        <f t="shared" si="18"/>
        <v>122.98946987644462</v>
      </c>
      <c r="N60" s="24">
        <f t="shared" si="18"/>
        <v>265.92474716538584</v>
      </c>
      <c r="O60" s="25">
        <f t="shared" si="18"/>
        <v>187.83537025084695</v>
      </c>
      <c r="Q60" s="22" t="s">
        <v>63</v>
      </c>
      <c r="R60" s="23">
        <f t="shared" ref="R60:W60" si="19">STDEV(R3:R56)</f>
        <v>0.41818774467446884</v>
      </c>
      <c r="S60" s="24">
        <f t="shared" si="19"/>
        <v>0.7207006664000315</v>
      </c>
      <c r="T60" s="24">
        <f t="shared" si="19"/>
        <v>0.69738876597568777</v>
      </c>
      <c r="U60" s="24">
        <f t="shared" si="19"/>
        <v>0.58100139605875467</v>
      </c>
      <c r="V60" s="24">
        <f t="shared" si="19"/>
        <v>1.0742270387442445</v>
      </c>
      <c r="W60" s="25">
        <f t="shared" si="19"/>
        <v>0.63321992445537623</v>
      </c>
      <c r="Y60" s="22" t="s">
        <v>63</v>
      </c>
      <c r="Z60" s="23">
        <f t="shared" ref="Z60:AE60" si="20">STDEV(Z3:Z56)</f>
        <v>323.0065376878083</v>
      </c>
      <c r="AA60" s="24">
        <f t="shared" si="20"/>
        <v>475.28800416409183</v>
      </c>
      <c r="AB60" s="24">
        <f t="shared" si="20"/>
        <v>784.31796964308842</v>
      </c>
      <c r="AC60" s="24">
        <f t="shared" si="20"/>
        <v>547.11099561452954</v>
      </c>
      <c r="AD60" s="24">
        <f t="shared" si="20"/>
        <v>1454.2838387839151</v>
      </c>
      <c r="AE60" s="25">
        <f t="shared" si="20"/>
        <v>789.78365520291209</v>
      </c>
      <c r="AG60" s="22" t="s">
        <v>63</v>
      </c>
      <c r="AH60" s="23">
        <f t="shared" ref="AH60:AM60" si="21">STDEV(AH3:AH56)</f>
        <v>1.6591755588550683</v>
      </c>
      <c r="AI60" s="24">
        <f t="shared" si="21"/>
        <v>2.6349615006466567</v>
      </c>
      <c r="AJ60" s="24">
        <f t="shared" si="21"/>
        <v>2.6890193109283258</v>
      </c>
      <c r="AK60" s="24">
        <f t="shared" si="21"/>
        <v>2.40866648445428</v>
      </c>
      <c r="AL60" s="24">
        <f t="shared" si="21"/>
        <v>3.7636670811106443</v>
      </c>
      <c r="AM60" s="25">
        <f t="shared" si="21"/>
        <v>2.4533553683957701</v>
      </c>
      <c r="AO60" s="22" t="s">
        <v>63</v>
      </c>
      <c r="AP60" s="23">
        <f t="shared" ref="AP60:AU60" si="22">STDEV(AP3:AP56)</f>
        <v>0.43453954048498727</v>
      </c>
      <c r="AQ60" s="24">
        <f t="shared" si="22"/>
        <v>0.69288584680544263</v>
      </c>
      <c r="AR60" s="24">
        <f t="shared" si="22"/>
        <v>0.39606546749931959</v>
      </c>
      <c r="AS60" s="24">
        <f t="shared" si="22"/>
        <v>0.47630153847699946</v>
      </c>
      <c r="AT60" s="24">
        <f t="shared" si="22"/>
        <v>0.48328824281274002</v>
      </c>
      <c r="AU60" s="25">
        <f t="shared" si="22"/>
        <v>0.48627977356849111</v>
      </c>
      <c r="AW60" s="22" t="s">
        <v>63</v>
      </c>
      <c r="AX60" s="23">
        <f t="shared" ref="AX60:BC60" si="23">STDEV(AX3:AX56)</f>
        <v>0.53984276471232162</v>
      </c>
      <c r="AY60" s="24">
        <f t="shared" si="23"/>
        <v>0.773739442754941</v>
      </c>
      <c r="AZ60" s="24">
        <f t="shared" si="23"/>
        <v>0.81996052011389742</v>
      </c>
      <c r="BA60" s="24">
        <f t="shared" si="23"/>
        <v>0.7595498740116492</v>
      </c>
      <c r="BB60" s="24">
        <f t="shared" si="23"/>
        <v>1.0986825793906141</v>
      </c>
      <c r="BC60" s="25">
        <f t="shared" si="23"/>
        <v>0.78871293314429969</v>
      </c>
      <c r="BE60" s="22" t="s">
        <v>63</v>
      </c>
      <c r="BF60" s="23">
        <f t="shared" ref="BF60:BK60" si="24">STDEV(BF3:BF56)</f>
        <v>57.333667140303376</v>
      </c>
      <c r="BG60" s="24">
        <f t="shared" si="24"/>
        <v>89.972309537526527</v>
      </c>
      <c r="BH60" s="24">
        <f t="shared" si="24"/>
        <v>148.79210633999008</v>
      </c>
      <c r="BI60" s="24">
        <f t="shared" si="24"/>
        <v>137.73973040968733</v>
      </c>
      <c r="BJ60" s="24">
        <f t="shared" si="24"/>
        <v>314.49903183577698</v>
      </c>
      <c r="BK60" s="25">
        <f t="shared" si="24"/>
        <v>115.10169416650652</v>
      </c>
      <c r="BM60" s="22" t="s">
        <v>63</v>
      </c>
      <c r="BN60" s="23">
        <f t="shared" ref="BN60:BS60" si="25">STDEV(BN3:BN56)</f>
        <v>0.21691193077902951</v>
      </c>
      <c r="BO60" s="24">
        <f t="shared" si="25"/>
        <v>0.5167751493106606</v>
      </c>
      <c r="BP60" s="24">
        <f t="shared" si="25"/>
        <v>0.39304665464455202</v>
      </c>
      <c r="BQ60" s="24">
        <f t="shared" si="25"/>
        <v>0.27215495994418715</v>
      </c>
      <c r="BR60" s="24">
        <f t="shared" si="25"/>
        <v>0.67404828443041764</v>
      </c>
      <c r="BS60" s="25">
        <f t="shared" si="25"/>
        <v>0.35721712266809513</v>
      </c>
      <c r="BU60" s="22" t="s">
        <v>63</v>
      </c>
      <c r="BV60" s="23">
        <f t="shared" ref="BV60:CA60" si="26">STDEV(BV3:BV56)</f>
        <v>130.96974444305491</v>
      </c>
      <c r="BW60" s="24">
        <f t="shared" si="26"/>
        <v>205.15708547268926</v>
      </c>
      <c r="BX60" s="24">
        <f t="shared" si="26"/>
        <v>317.60777964885057</v>
      </c>
      <c r="BY60" s="24">
        <f t="shared" si="26"/>
        <v>244.82433937017922</v>
      </c>
      <c r="BZ60" s="24">
        <f t="shared" si="26"/>
        <v>559.21017037099637</v>
      </c>
      <c r="CA60" s="25">
        <f t="shared" si="26"/>
        <v>392.93761189738262</v>
      </c>
      <c r="CC60" s="22" t="s">
        <v>63</v>
      </c>
      <c r="CD60" s="23">
        <f t="shared" ref="CD60:CI60" si="27">STDEV(CD3:CD56)</f>
        <v>0.85650776495520919</v>
      </c>
      <c r="CE60" s="24">
        <f t="shared" si="27"/>
        <v>1.4402646582188594</v>
      </c>
      <c r="CF60" s="24">
        <f t="shared" si="27"/>
        <v>1.4752372259156408</v>
      </c>
      <c r="CG60" s="24">
        <f t="shared" si="27"/>
        <v>1.1625699692204912</v>
      </c>
      <c r="CH60" s="24">
        <f t="shared" si="27"/>
        <v>2.2761587694160861</v>
      </c>
      <c r="CI60" s="25">
        <f t="shared" si="27"/>
        <v>1.3962622311664148</v>
      </c>
      <c r="CK60" s="22" t="s">
        <v>63</v>
      </c>
      <c r="CL60" s="23">
        <f t="shared" ref="CL60:CQ60" si="28">STDEV(CL3:CL56)</f>
        <v>0.3609101216623965</v>
      </c>
      <c r="CM60" s="24">
        <f t="shared" si="28"/>
        <v>0.43344987795972167</v>
      </c>
      <c r="CN60" s="24">
        <f t="shared" si="28"/>
        <v>0.34125778046408306</v>
      </c>
      <c r="CO60" s="24">
        <f t="shared" si="28"/>
        <v>0.48301121450058937</v>
      </c>
      <c r="CP60" s="24">
        <f t="shared" si="28"/>
        <v>0.46350611978368267</v>
      </c>
      <c r="CQ60" s="25">
        <f t="shared" si="28"/>
        <v>0.45199499192720272</v>
      </c>
      <c r="CS60" s="22" t="s">
        <v>63</v>
      </c>
      <c r="CT60" s="23">
        <f t="shared" ref="CT60:CY60" si="29">STDEV(CT3:CT56)</f>
        <v>11.449284800762868</v>
      </c>
      <c r="CU60" s="24">
        <f t="shared" si="29"/>
        <v>24.849547279578356</v>
      </c>
      <c r="CV60" s="24">
        <f t="shared" si="29"/>
        <v>31.957073480757675</v>
      </c>
      <c r="CW60" s="24">
        <f t="shared" si="29"/>
        <v>37.848234950772657</v>
      </c>
      <c r="CX60" s="24">
        <f t="shared" si="29"/>
        <v>52.344152074613412</v>
      </c>
      <c r="CY60" s="25">
        <f t="shared" si="29"/>
        <v>39.012352356191442</v>
      </c>
      <c r="DA60" s="22" t="s">
        <v>63</v>
      </c>
      <c r="DB60" s="23">
        <f t="shared" ref="DB60:DG60" si="30">STDEV(DB3:DB56)</f>
        <v>0.1146671776606238</v>
      </c>
      <c r="DC60" s="24">
        <f t="shared" si="30"/>
        <v>0.27626265571925374</v>
      </c>
      <c r="DD60" s="24">
        <f t="shared" si="30"/>
        <v>0.20982052937082818</v>
      </c>
      <c r="DE60" s="24">
        <f t="shared" si="30"/>
        <v>0.13859389115926671</v>
      </c>
      <c r="DF60" s="24">
        <f t="shared" si="30"/>
        <v>0.36984085281409401</v>
      </c>
      <c r="DG60" s="25">
        <f t="shared" si="30"/>
        <v>0.18649557635504396</v>
      </c>
      <c r="DI60" s="22" t="s">
        <v>63</v>
      </c>
      <c r="DJ60" s="23">
        <f t="shared" ref="DJ60:DO60" si="31">STDEV(DJ3:DJ56)</f>
        <v>91.319720918164364</v>
      </c>
      <c r="DK60" s="24">
        <f t="shared" si="31"/>
        <v>126.93800944460345</v>
      </c>
      <c r="DL60" s="24">
        <f t="shared" si="31"/>
        <v>218.06116739867443</v>
      </c>
      <c r="DM60" s="24">
        <f t="shared" si="31"/>
        <v>224.59435037912726</v>
      </c>
      <c r="DN60" s="24">
        <f t="shared" si="31"/>
        <v>509.6938623657669</v>
      </c>
      <c r="DO60" s="25">
        <f t="shared" si="31"/>
        <v>117.99514627922007</v>
      </c>
      <c r="DQ60" s="22" t="s">
        <v>63</v>
      </c>
      <c r="DR60" s="23">
        <f t="shared" ref="DR60:DW60" si="32">STDEV(DR3:DR56)</f>
        <v>9.1908625874855099E-2</v>
      </c>
      <c r="DS60" s="24">
        <f t="shared" si="32"/>
        <v>0.21999042186942067</v>
      </c>
      <c r="DT60" s="24">
        <f t="shared" si="32"/>
        <v>0.17266873170638311</v>
      </c>
      <c r="DU60" s="24">
        <f t="shared" si="32"/>
        <v>0.14878549063071375</v>
      </c>
      <c r="DV60" s="24">
        <f t="shared" si="32"/>
        <v>0.23548302786030331</v>
      </c>
      <c r="DW60" s="25">
        <f t="shared" si="32"/>
        <v>0.1664042176038926</v>
      </c>
      <c r="DY60" s="22" t="s">
        <v>63</v>
      </c>
      <c r="DZ60" s="23">
        <f t="shared" ref="DZ60:EE60" si="33">STDEV(DZ3:DZ56)</f>
        <v>1.6720084464194443E-2</v>
      </c>
      <c r="EA60" s="24">
        <f t="shared" si="33"/>
        <v>1.4856271107138259E-2</v>
      </c>
      <c r="EB60" s="24">
        <f t="shared" si="33"/>
        <v>1.5461388859172561E-2</v>
      </c>
      <c r="EC60" s="24">
        <f t="shared" si="33"/>
        <v>1.9235672879083562E-2</v>
      </c>
      <c r="ED60" s="24">
        <f t="shared" si="33"/>
        <v>1.9235384061671336E-2</v>
      </c>
      <c r="EE60" s="25">
        <f t="shared" si="33"/>
        <v>1.6206620420511658E-2</v>
      </c>
    </row>
    <row r="61" spans="1:135" s="32" customFormat="1" x14ac:dyDescent="0.25">
      <c r="A61" s="29" t="s">
        <v>64</v>
      </c>
      <c r="B61" s="30"/>
      <c r="C61" s="36">
        <f>TTEST(B3:B56,C3:C56,2,3)</f>
        <v>0.42481717649244499</v>
      </c>
      <c r="D61" s="41">
        <f>TTEST(B3:B56,D3:D56,2,3)</f>
        <v>2.6393847042006581E-3</v>
      </c>
      <c r="E61" s="41">
        <f>TTEST(B3:B56,E3:E56,2,3)</f>
        <v>5.0984943672937721E-4</v>
      </c>
      <c r="F61" s="41">
        <f>TTEST(B3:B56,F3:F56,2,3)</f>
        <v>1.7117237660572264E-2</v>
      </c>
      <c r="G61" s="31">
        <f>TTEST(B3:B56,G3:G56,2,3)</f>
        <v>0.40293633919874361</v>
      </c>
      <c r="I61" s="29" t="s">
        <v>64</v>
      </c>
      <c r="J61" s="30"/>
      <c r="K61" s="41">
        <f>TTEST(J3:J56,K3:K56,2,3)</f>
        <v>2.9839756172749084E-2</v>
      </c>
      <c r="L61" s="41">
        <f>TTEST(J3:J56,L3:L56,2,3)</f>
        <v>9.1109914573459606E-5</v>
      </c>
      <c r="M61" s="41">
        <f>TTEST(J3:J56,M3:M56,2,3)</f>
        <v>2.6930037817912499E-5</v>
      </c>
      <c r="N61" s="41">
        <f>TTEST(J3:J56,N3:N56,2,3)</f>
        <v>2.930296126068255E-4</v>
      </c>
      <c r="O61" s="31">
        <f>TTEST(J3:J56,O3:O56,2,3)</f>
        <v>0.10916512815601502</v>
      </c>
      <c r="Q61" s="29" t="s">
        <v>64</v>
      </c>
      <c r="R61" s="30"/>
      <c r="S61" s="36">
        <f>TTEST(R3:R56,S3:S56,2,3)</f>
        <v>5.6490424032888231E-2</v>
      </c>
      <c r="T61" s="36">
        <f>TTEST(R3:R56,T3:T56,2,3)</f>
        <v>0.10960718336964406</v>
      </c>
      <c r="U61" s="36">
        <f>TTEST(R3:R56,U3:U56,2,3)</f>
        <v>0.51999324148073445</v>
      </c>
      <c r="V61" s="36">
        <f>TTEST(R3:R56,V3:V56,2,3)</f>
        <v>7.895895954655277E-2</v>
      </c>
      <c r="W61" s="57">
        <f>TTEST(R3:R56,W3:W56,2,3)</f>
        <v>4.1197337996648098E-2</v>
      </c>
      <c r="Y61" s="29" t="s">
        <v>64</v>
      </c>
      <c r="Z61" s="30"/>
      <c r="AA61" s="41">
        <f>TTEST(Z3:Z56,AA3:AA56,2,3)</f>
        <v>1.6419440870632476E-2</v>
      </c>
      <c r="AB61" s="41">
        <f>TTEST(Z3:Z56,AB3:AB56,2,3)</f>
        <v>1.3119955275477444E-4</v>
      </c>
      <c r="AC61" s="41">
        <f>TTEST(Z3:Z56,AC3:AC56,2,3)</f>
        <v>6.7217136906836317E-6</v>
      </c>
      <c r="AD61" s="41">
        <f>TTEST(Z3:Z56,AD3:AD56,2,3)</f>
        <v>5.6654915876542459E-4</v>
      </c>
      <c r="AE61" s="31">
        <f>TTEST(Z3:Z56,AE3:AE56,2,3)</f>
        <v>8.4753198959551052E-2</v>
      </c>
      <c r="AG61" s="29" t="s">
        <v>64</v>
      </c>
      <c r="AH61" s="30"/>
      <c r="AI61" s="41">
        <f>TTEST(AH3:AH56,AI3:AI56,2,3)</f>
        <v>9.3253227580268536E-3</v>
      </c>
      <c r="AJ61" s="41">
        <f>TTEST(AH3:AH56,AJ3:AJ56,2,3)</f>
        <v>3.1406124545431999E-2</v>
      </c>
      <c r="AK61" s="36">
        <f>TTEST(AH3:AH56,AK3:AK56,2,3)</f>
        <v>0.98986655049214256</v>
      </c>
      <c r="AL61" s="41">
        <f>TTEST(AH3:AH56,AL3:AL56,2,3)</f>
        <v>1.9494249308359621E-2</v>
      </c>
      <c r="AM61" s="57">
        <f>TTEST(AH3:AH56,AM3:AM56,2,3)</f>
        <v>1.5238676409240998E-2</v>
      </c>
      <c r="AO61" s="29" t="s">
        <v>64</v>
      </c>
      <c r="AP61" s="30"/>
      <c r="AQ61" s="36">
        <f>TTEST(AP3:AP56,AQ3:AQ56,2,3)</f>
        <v>0.29120163620435591</v>
      </c>
      <c r="AR61" s="36">
        <f>TTEST(AP3:AP56,AR3:AR56,2,3)</f>
        <v>0.39845335129466541</v>
      </c>
      <c r="AS61" s="36">
        <f>TTEST(AP3:AP56,AS3:AS56,2,3)</f>
        <v>0.76101891551298995</v>
      </c>
      <c r="AT61" s="36">
        <f>TTEST(AP3:AP56,AT3:AT56,2,3)</f>
        <v>0.27159170271470023</v>
      </c>
      <c r="AU61" s="31">
        <f>TTEST(AP3:AP56,AU3:AU56,2,3)</f>
        <v>0.90428667422251596</v>
      </c>
      <c r="AW61" s="29" t="s">
        <v>64</v>
      </c>
      <c r="AX61" s="30"/>
      <c r="AY61" s="41">
        <f>TTEST(AX3:AX56,AY3:AY56,2,3)</f>
        <v>4.6563866959822549E-4</v>
      </c>
      <c r="AZ61" s="41">
        <f>TTEST(AX3:AX56,AZ3:AZ56,2,3)</f>
        <v>4.0507203566319252E-3</v>
      </c>
      <c r="BA61" s="36">
        <f>TTEST(AX3:AX56,BA3:BA56,2,3)</f>
        <v>0.32083285406525719</v>
      </c>
      <c r="BB61" s="41">
        <f>TTEST(AX3:AX56,BB3:BB56,2,3)</f>
        <v>1.7600570413949046E-3</v>
      </c>
      <c r="BC61" s="57">
        <f>TTEST(AX3:AX56,BC3:BC56,2,3)</f>
        <v>4.234252924063645E-3</v>
      </c>
      <c r="BE61" s="29" t="s">
        <v>64</v>
      </c>
      <c r="BF61" s="30"/>
      <c r="BG61" s="41">
        <f>TTEST(BF3:BF56,BG3:BG56,2,3)</f>
        <v>2.4301207926130441E-2</v>
      </c>
      <c r="BH61" s="41">
        <f>TTEST(BF3:BF56,BH3:BH56,2,3)</f>
        <v>2.6333054085078738E-4</v>
      </c>
      <c r="BI61" s="41">
        <f>TTEST(BF3:BF56,BI3:BI56,2,3)</f>
        <v>5.7767844394776652E-5</v>
      </c>
      <c r="BJ61" s="41">
        <f>TTEST(BF3:BF56,BJ3:BJ56,2,3)</f>
        <v>1.3250944172966128E-3</v>
      </c>
      <c r="BK61" s="31">
        <f>TTEST(BF3:BF56,BK3:BK56,2,3)</f>
        <v>5.4890268274023483E-2</v>
      </c>
      <c r="BM61" s="29" t="s">
        <v>64</v>
      </c>
      <c r="BN61" s="30"/>
      <c r="BO61" s="41">
        <f>TTEST(BN3:BN56,BO3:BO56,2,3)</f>
        <v>1.9305564913648498E-2</v>
      </c>
      <c r="BP61" s="41">
        <f>TTEST(BN3:BN56,BP3:BP56,2,3)</f>
        <v>3.7628838224457818E-2</v>
      </c>
      <c r="BQ61" s="36">
        <f>TTEST(BN3:BN56,BQ3:BQ56,2,3)</f>
        <v>0.90287735090772436</v>
      </c>
      <c r="BR61" s="41">
        <f>TTEST(BN3:BN56,BR3:BR56,2,3)</f>
        <v>2.0581301489907642E-2</v>
      </c>
      <c r="BS61" s="57">
        <f>TTEST(BN3:BN56,BS3:BS56,2,3)</f>
        <v>6.0025057505563523E-3</v>
      </c>
      <c r="BU61" s="29" t="s">
        <v>64</v>
      </c>
      <c r="BV61" s="30"/>
      <c r="BW61" s="41">
        <f>TTEST(BV3:BV56,BW3:BW56,2,3)</f>
        <v>4.0520414881083664E-3</v>
      </c>
      <c r="BX61" s="41">
        <f>TTEST(BV3:BV56,BX3:BX56,2,3)</f>
        <v>5.7579439118887213E-5</v>
      </c>
      <c r="BY61" s="41">
        <f>TTEST(BV3:BV56,BY3:BY56,2,3)</f>
        <v>1.6517491858941673E-5</v>
      </c>
      <c r="BZ61" s="41">
        <f>TTEST(BV3:BV56,BZ3:BZ56,2,3)</f>
        <v>1.3548265377009893E-4</v>
      </c>
      <c r="CA61" s="31">
        <f>TTEST(BV3:BV56,CA3:CA56,2,3)</f>
        <v>6.3868152434327613E-2</v>
      </c>
      <c r="CC61" s="29" t="s">
        <v>64</v>
      </c>
      <c r="CD61" s="30"/>
      <c r="CE61" s="41">
        <f>TTEST(CD3:CD56,CE3:CE56,2,3)</f>
        <v>4.9487334238656564E-3</v>
      </c>
      <c r="CF61" s="41">
        <f>TTEST(CD3:CD56,CF3:CF56,2,3)</f>
        <v>2.0742052940439244E-2</v>
      </c>
      <c r="CG61" s="36">
        <f>TTEST(CD3:CD56,CG3:CG56,2,3)</f>
        <v>0.72167846664255131</v>
      </c>
      <c r="CH61" s="41">
        <f>TTEST(CD3:CD56,CH3:CH56,2,3)</f>
        <v>1.2766955590890553E-2</v>
      </c>
      <c r="CI61" s="57">
        <f>TTEST(CD3:CD56,CI3:CI56,2,3)</f>
        <v>1.1907686919598221E-2</v>
      </c>
      <c r="CK61" s="29" t="s">
        <v>64</v>
      </c>
      <c r="CL61" s="30"/>
      <c r="CM61" s="41">
        <f>TTEST(CL3:CL56,CM3:CM56,2,3)</f>
        <v>3.1310228350255924E-2</v>
      </c>
      <c r="CN61" s="41">
        <f>TTEST(CL3:CL56,CN3:CN56,2,3)</f>
        <v>1.1722916378835178E-2</v>
      </c>
      <c r="CO61" s="36">
        <f>TTEST(CL3:CL56,CO3:CO56,2,3)</f>
        <v>0.80641057342568434</v>
      </c>
      <c r="CP61" s="41">
        <f>TTEST(CL3:CL56,CP3:CP56,2,3)</f>
        <v>2.3773696684680452E-2</v>
      </c>
      <c r="CQ61" s="31">
        <f>TTEST(CL3:CL56,CQ3:CQ56,2,3)</f>
        <v>8.8054951759504604E-2</v>
      </c>
      <c r="CS61" s="29" t="s">
        <v>64</v>
      </c>
      <c r="CT61" s="30"/>
      <c r="CU61" s="41">
        <f>TTEST(CT3:CT56,CU3:CU56,2,3)</f>
        <v>2.3232992450199293E-3</v>
      </c>
      <c r="CV61" s="41">
        <f>TTEST(CT3:CT56,CV3:CV56,2,3)</f>
        <v>9.9366011267226217E-5</v>
      </c>
      <c r="CW61" s="41">
        <f>TTEST(CT3:CT56,CW3:CW56,2,3)</f>
        <v>2.9106086040724226E-3</v>
      </c>
      <c r="CX61" s="41">
        <f>TTEST(CT3:CT56,CX3:CX56,2,3)</f>
        <v>6.8864029307039241E-5</v>
      </c>
      <c r="CY61" s="57">
        <f>TTEST(CT3:CT56,CY3:CY56,2,3)</f>
        <v>2.2338564903405328E-2</v>
      </c>
      <c r="DA61" s="29" t="s">
        <v>64</v>
      </c>
      <c r="DB61" s="30"/>
      <c r="DC61" s="41">
        <f>TTEST(DB3:DB56,DC3:DC56,2,3)</f>
        <v>2.2421931956123499E-2</v>
      </c>
      <c r="DD61" s="41">
        <f>TTEST(DB3:DB56,DD3:DD56,2,3)</f>
        <v>4.3588513512673552E-2</v>
      </c>
      <c r="DE61" s="36">
        <f>TTEST(DB3:DB56,DE3:DE56,2,3)</f>
        <v>0.99598958670731075</v>
      </c>
      <c r="DF61" s="41">
        <f>TTEST(DB3:DB56,DF3:DF56,2,3)</f>
        <v>2.5832745257950124E-2</v>
      </c>
      <c r="DG61" s="57">
        <f>TTEST(DB3:DB56,DG3:DG56,2,3)</f>
        <v>7.7576446008792025E-3</v>
      </c>
      <c r="DI61" s="29" t="s">
        <v>64</v>
      </c>
      <c r="DJ61" s="30"/>
      <c r="DK61" s="36">
        <f>TTEST(DJ3:DJ56,DK3:DK56,2,3)</f>
        <v>0.20279632691657568</v>
      </c>
      <c r="DL61" s="41">
        <f>TTEST(DJ3:DJ56,DL3:DL56,2,3)</f>
        <v>1.275333437944522E-3</v>
      </c>
      <c r="DM61" s="41">
        <f>TTEST(DJ3:DJ56,DM3:DM56,2,3)</f>
        <v>1.7369444213174949E-4</v>
      </c>
      <c r="DN61" s="41">
        <f>TTEST(DJ3:DJ56,DN3:DN56,2,3)</f>
        <v>8.6980781661527094E-3</v>
      </c>
      <c r="DO61" s="31">
        <f>TTEST(DJ3:DJ56,DO3:DO56,2,3)</f>
        <v>0.17584350152378764</v>
      </c>
      <c r="DQ61" s="29" t="s">
        <v>64</v>
      </c>
      <c r="DR61" s="30"/>
      <c r="DS61" s="41">
        <f>TTEST(DR3:DR56,DS3:DS56,2,3)</f>
        <v>1.8253679914741583E-2</v>
      </c>
      <c r="DT61" s="36">
        <f>TTEST(DR3:DR56,DT3:DT56,2,3)</f>
        <v>6.2941246023805783E-2</v>
      </c>
      <c r="DU61" s="36">
        <f>TTEST(DR3:DR56,DU3:DU56,2,3)</f>
        <v>0.82482425075560473</v>
      </c>
      <c r="DV61" s="41">
        <f>TTEST(DR3:DR56,DV3:DV56,2,3)</f>
        <v>9.3095676618430174E-3</v>
      </c>
      <c r="DW61" s="57">
        <f>TTEST(DR3:DR56,DW3:DW56,2,3)</f>
        <v>6.2019759774920007E-3</v>
      </c>
      <c r="DY61" s="29" t="s">
        <v>64</v>
      </c>
      <c r="DZ61" s="30"/>
      <c r="EA61" s="41">
        <f>TTEST(DZ3:DZ56,EA3:EA56,2,3)</f>
        <v>4.8901114885310362E-7</v>
      </c>
      <c r="EB61" s="41">
        <f>TTEST(DZ3:DZ56,EB3:EB56,2,3)</f>
        <v>3.2016064632256347E-5</v>
      </c>
      <c r="EC61" s="41">
        <f>TTEST(DZ3:DZ56,EC3:EC56,2,3)</f>
        <v>8.1304066891804859E-5</v>
      </c>
      <c r="ED61" s="41">
        <f>TTEST(DZ3:DZ56,ED3:ED56,2,3)</f>
        <v>1.2713639873917508E-6</v>
      </c>
      <c r="EE61" s="57">
        <f>TTEST(DZ3:DZ56,EE3:EE56,2,3)</f>
        <v>5.1619997110851149E-4</v>
      </c>
    </row>
    <row r="62" spans="1:135" x14ac:dyDescent="0.25">
      <c r="I62"/>
    </row>
    <row r="63" spans="1:135" x14ac:dyDescent="0.25">
      <c r="I63"/>
    </row>
    <row r="66" spans="2:137" x14ac:dyDescent="0.25">
      <c r="B66" s="11"/>
      <c r="C66" s="11" t="s">
        <v>89</v>
      </c>
      <c r="D66" s="11" t="s">
        <v>90</v>
      </c>
      <c r="E66" s="11" t="s">
        <v>91</v>
      </c>
      <c r="F66" s="11">
        <v>1506257</v>
      </c>
      <c r="G66" s="11" t="s">
        <v>92</v>
      </c>
      <c r="J66" s="11"/>
      <c r="K66" s="11" t="s">
        <v>89</v>
      </c>
      <c r="L66" s="11" t="s">
        <v>90</v>
      </c>
      <c r="M66" s="11" t="s">
        <v>91</v>
      </c>
      <c r="N66" s="11">
        <v>1506257</v>
      </c>
      <c r="O66" s="11" t="s">
        <v>92</v>
      </c>
      <c r="R66" s="11"/>
      <c r="S66" s="11" t="s">
        <v>89</v>
      </c>
      <c r="T66" s="11" t="s">
        <v>90</v>
      </c>
      <c r="U66" s="11" t="s">
        <v>91</v>
      </c>
      <c r="V66" s="11">
        <v>1506257</v>
      </c>
      <c r="W66" s="11" t="s">
        <v>92</v>
      </c>
      <c r="Z66" s="11"/>
      <c r="AA66" s="11" t="s">
        <v>89</v>
      </c>
      <c r="AB66" s="11" t="s">
        <v>90</v>
      </c>
      <c r="AC66" s="11" t="s">
        <v>91</v>
      </c>
      <c r="AD66" s="11">
        <v>1506257</v>
      </c>
      <c r="AE66" s="11" t="s">
        <v>92</v>
      </c>
      <c r="AH66" s="11"/>
      <c r="AI66" s="11" t="s">
        <v>89</v>
      </c>
      <c r="AJ66" s="11" t="s">
        <v>90</v>
      </c>
      <c r="AK66" s="11" t="s">
        <v>91</v>
      </c>
      <c r="AL66" s="11">
        <v>1506257</v>
      </c>
      <c r="AM66" s="11" t="s">
        <v>92</v>
      </c>
      <c r="AP66" s="11"/>
      <c r="AQ66" s="11" t="s">
        <v>89</v>
      </c>
      <c r="AR66" s="11" t="s">
        <v>90</v>
      </c>
      <c r="AS66" s="11" t="s">
        <v>91</v>
      </c>
      <c r="AT66" s="11">
        <v>1506257</v>
      </c>
      <c r="AU66" s="11" t="s">
        <v>92</v>
      </c>
      <c r="AX66" s="11"/>
      <c r="AY66" s="11" t="s">
        <v>89</v>
      </c>
      <c r="AZ66" s="11" t="s">
        <v>90</v>
      </c>
      <c r="BA66" s="11" t="s">
        <v>91</v>
      </c>
      <c r="BB66" s="11">
        <v>1506257</v>
      </c>
      <c r="BC66" s="11" t="s">
        <v>92</v>
      </c>
      <c r="BF66" s="11"/>
      <c r="BG66" s="11" t="s">
        <v>89</v>
      </c>
      <c r="BH66" s="11" t="s">
        <v>90</v>
      </c>
      <c r="BI66" s="11" t="s">
        <v>91</v>
      </c>
      <c r="BJ66" s="11">
        <v>1506257</v>
      </c>
      <c r="BK66" s="11" t="s">
        <v>92</v>
      </c>
      <c r="BN66" s="11"/>
      <c r="BO66" s="11" t="s">
        <v>89</v>
      </c>
      <c r="BP66" s="11" t="s">
        <v>90</v>
      </c>
      <c r="BQ66" s="11" t="s">
        <v>91</v>
      </c>
      <c r="BR66" s="11">
        <v>1506257</v>
      </c>
      <c r="BS66" s="11" t="s">
        <v>92</v>
      </c>
      <c r="BV66" s="11"/>
      <c r="BW66" s="11" t="s">
        <v>89</v>
      </c>
      <c r="BX66" s="11" t="s">
        <v>90</v>
      </c>
      <c r="BY66" s="11" t="s">
        <v>91</v>
      </c>
      <c r="BZ66" s="11">
        <v>1506257</v>
      </c>
      <c r="CA66" s="11" t="s">
        <v>92</v>
      </c>
      <c r="CD66" s="11"/>
      <c r="CE66" s="11" t="s">
        <v>89</v>
      </c>
      <c r="CF66" s="11" t="s">
        <v>90</v>
      </c>
      <c r="CG66" s="11" t="s">
        <v>91</v>
      </c>
      <c r="CH66" s="11">
        <v>1506257</v>
      </c>
      <c r="CI66" s="11" t="s">
        <v>92</v>
      </c>
      <c r="CL66" s="11"/>
      <c r="CM66" s="11" t="s">
        <v>89</v>
      </c>
      <c r="CN66" s="11" t="s">
        <v>90</v>
      </c>
      <c r="CO66" s="11" t="s">
        <v>91</v>
      </c>
      <c r="CP66" s="11">
        <v>1506257</v>
      </c>
      <c r="CQ66" s="11" t="s">
        <v>92</v>
      </c>
      <c r="CT66" s="11"/>
      <c r="CU66" s="11" t="s">
        <v>89</v>
      </c>
      <c r="CV66" s="11" t="s">
        <v>90</v>
      </c>
      <c r="CW66" s="11" t="s">
        <v>91</v>
      </c>
      <c r="CX66" s="11">
        <v>1506257</v>
      </c>
      <c r="CY66" s="11" t="s">
        <v>92</v>
      </c>
      <c r="DB66" s="11"/>
      <c r="DC66" s="11" t="s">
        <v>89</v>
      </c>
      <c r="DD66" s="11" t="s">
        <v>90</v>
      </c>
      <c r="DE66" s="11" t="s">
        <v>91</v>
      </c>
      <c r="DF66" s="11">
        <v>1506257</v>
      </c>
      <c r="DG66" s="11" t="s">
        <v>92</v>
      </c>
      <c r="DJ66" s="11"/>
      <c r="DK66" s="11" t="s">
        <v>89</v>
      </c>
      <c r="DL66" s="11" t="s">
        <v>90</v>
      </c>
      <c r="DM66" s="11" t="s">
        <v>91</v>
      </c>
      <c r="DN66" s="11">
        <v>1506257</v>
      </c>
      <c r="DO66" s="11" t="s">
        <v>92</v>
      </c>
      <c r="DR66" s="11"/>
      <c r="DS66" s="11" t="s">
        <v>89</v>
      </c>
      <c r="DT66" s="11" t="s">
        <v>90</v>
      </c>
      <c r="DU66" s="11" t="s">
        <v>91</v>
      </c>
      <c r="DV66" s="11">
        <v>1506257</v>
      </c>
      <c r="DW66" s="11" t="s">
        <v>92</v>
      </c>
      <c r="DZ66" s="11"/>
      <c r="EA66" s="11" t="s">
        <v>89</v>
      </c>
      <c r="EB66" s="11" t="s">
        <v>90</v>
      </c>
      <c r="EC66" s="11" t="s">
        <v>91</v>
      </c>
      <c r="ED66" s="11">
        <v>1506257</v>
      </c>
      <c r="EE66" s="11" t="s">
        <v>92</v>
      </c>
    </row>
    <row r="67" spans="2:137" s="15" customFormat="1" ht="33" customHeight="1" x14ac:dyDescent="0.25">
      <c r="B67" s="59" t="s">
        <v>1</v>
      </c>
      <c r="C67" s="59"/>
      <c r="D67" s="59"/>
      <c r="E67" s="59"/>
      <c r="F67" s="59"/>
      <c r="G67" s="59"/>
      <c r="H67"/>
      <c r="I67" s="14"/>
      <c r="J67" s="59" t="s">
        <v>2</v>
      </c>
      <c r="K67" s="59"/>
      <c r="L67" s="59"/>
      <c r="M67" s="59"/>
      <c r="N67" s="59"/>
      <c r="O67" s="59"/>
      <c r="P67"/>
      <c r="Q67" s="14"/>
      <c r="R67" s="59" t="s">
        <v>3</v>
      </c>
      <c r="S67" s="59"/>
      <c r="T67" s="59"/>
      <c r="U67" s="59"/>
      <c r="V67" s="59"/>
      <c r="W67" s="59"/>
      <c r="X67"/>
      <c r="Y67" s="14"/>
      <c r="Z67" s="63" t="s">
        <v>4</v>
      </c>
      <c r="AA67" s="63"/>
      <c r="AB67" s="63"/>
      <c r="AC67" s="63"/>
      <c r="AD67" s="63"/>
      <c r="AE67" s="63"/>
      <c r="AF67"/>
      <c r="AG67" s="14"/>
      <c r="AH67" s="59" t="s">
        <v>5</v>
      </c>
      <c r="AI67" s="59"/>
      <c r="AJ67" s="59"/>
      <c r="AK67" s="59"/>
      <c r="AL67" s="59"/>
      <c r="AM67" s="59"/>
      <c r="AN67"/>
      <c r="AO67" s="14"/>
      <c r="AP67" s="59" t="s">
        <v>6</v>
      </c>
      <c r="AQ67" s="59"/>
      <c r="AR67" s="59"/>
      <c r="AS67" s="59"/>
      <c r="AT67" s="59"/>
      <c r="AU67" s="59"/>
      <c r="AV67"/>
      <c r="AW67" s="14"/>
      <c r="AX67" s="59" t="s">
        <v>7</v>
      </c>
      <c r="AY67" s="59"/>
      <c r="AZ67" s="59"/>
      <c r="BA67" s="59"/>
      <c r="BB67" s="59"/>
      <c r="BC67" s="59"/>
      <c r="BD67"/>
      <c r="BE67" s="14"/>
      <c r="BF67" s="59" t="s">
        <v>8</v>
      </c>
      <c r="BG67" s="59"/>
      <c r="BH67" s="59"/>
      <c r="BI67" s="59"/>
      <c r="BJ67" s="59"/>
      <c r="BK67" s="59"/>
      <c r="BL67"/>
      <c r="BM67" s="14"/>
      <c r="BN67" s="59" t="s">
        <v>9</v>
      </c>
      <c r="BO67" s="59"/>
      <c r="BP67" s="59"/>
      <c r="BQ67" s="59"/>
      <c r="BR67" s="59"/>
      <c r="BS67" s="59"/>
      <c r="BT67"/>
      <c r="BU67" s="14"/>
      <c r="BV67" s="59" t="s">
        <v>10</v>
      </c>
      <c r="BW67" s="59"/>
      <c r="BX67" s="59"/>
      <c r="BY67" s="59"/>
      <c r="BZ67" s="59"/>
      <c r="CA67" s="59"/>
      <c r="CB67"/>
      <c r="CC67" s="14"/>
      <c r="CD67" s="59" t="s">
        <v>11</v>
      </c>
      <c r="CE67" s="59"/>
      <c r="CF67" s="59"/>
      <c r="CG67" s="59"/>
      <c r="CH67" s="59"/>
      <c r="CI67" s="59"/>
      <c r="CJ67"/>
      <c r="CK67" s="14"/>
      <c r="CL67" s="59" t="s">
        <v>12</v>
      </c>
      <c r="CM67" s="59"/>
      <c r="CN67" s="59"/>
      <c r="CO67" s="59"/>
      <c r="CP67" s="59"/>
      <c r="CQ67" s="59"/>
      <c r="CR67"/>
      <c r="CS67" s="14"/>
      <c r="CT67" s="59" t="s">
        <v>13</v>
      </c>
      <c r="CU67" s="59"/>
      <c r="CV67" s="59"/>
      <c r="CW67" s="59"/>
      <c r="CX67" s="59"/>
      <c r="CY67" s="59"/>
      <c r="CZ67"/>
      <c r="DA67" s="14"/>
      <c r="DB67" s="59" t="s">
        <v>14</v>
      </c>
      <c r="DC67" s="59"/>
      <c r="DD67" s="59"/>
      <c r="DE67" s="59"/>
      <c r="DF67" s="59"/>
      <c r="DG67" s="59"/>
      <c r="DH67"/>
      <c r="DI67" s="14"/>
      <c r="DJ67" s="63" t="s">
        <v>15</v>
      </c>
      <c r="DK67" s="63"/>
      <c r="DL67" s="63"/>
      <c r="DM67" s="63"/>
      <c r="DN67" s="63"/>
      <c r="DO67" s="63"/>
      <c r="DP67"/>
      <c r="DQ67" s="14"/>
      <c r="DR67" s="59" t="s">
        <v>16</v>
      </c>
      <c r="DS67" s="59"/>
      <c r="DT67" s="59"/>
      <c r="DU67" s="59"/>
      <c r="DV67" s="59"/>
      <c r="DW67" s="59"/>
      <c r="DX67" s="14"/>
      <c r="DY67" s="14"/>
      <c r="DZ67" s="59" t="s">
        <v>17</v>
      </c>
      <c r="EA67" s="59"/>
      <c r="EB67" s="59"/>
      <c r="EC67" s="59"/>
      <c r="ED67" s="59"/>
      <c r="EE67" s="59"/>
    </row>
    <row r="68" spans="2:137" x14ac:dyDescent="0.25">
      <c r="B68" s="60" t="s">
        <v>126</v>
      </c>
      <c r="C68" s="61"/>
      <c r="D68" s="61"/>
      <c r="E68" s="61"/>
      <c r="F68" s="61"/>
      <c r="G68" s="62"/>
      <c r="J68" s="60" t="s">
        <v>126</v>
      </c>
      <c r="K68" s="61"/>
      <c r="L68" s="61"/>
      <c r="M68" s="61"/>
      <c r="N68" s="61"/>
      <c r="O68" s="62"/>
      <c r="R68" s="60" t="s">
        <v>126</v>
      </c>
      <c r="S68" s="61"/>
      <c r="T68" s="61"/>
      <c r="U68" s="61"/>
      <c r="V68" s="61"/>
      <c r="W68" s="62"/>
      <c r="Z68" s="60" t="s">
        <v>126</v>
      </c>
      <c r="AA68" s="61"/>
      <c r="AB68" s="61"/>
      <c r="AC68" s="61"/>
      <c r="AD68" s="61"/>
      <c r="AE68" s="62"/>
      <c r="AG68" s="12"/>
      <c r="AH68" s="60" t="s">
        <v>126</v>
      </c>
      <c r="AI68" s="61"/>
      <c r="AJ68" s="61"/>
      <c r="AK68" s="61"/>
      <c r="AL68" s="61"/>
      <c r="AM68" s="62"/>
      <c r="AP68" s="60" t="s">
        <v>126</v>
      </c>
      <c r="AQ68" s="61"/>
      <c r="AR68" s="61"/>
      <c r="AS68" s="61"/>
      <c r="AT68" s="61"/>
      <c r="AU68" s="62"/>
      <c r="AX68" s="60" t="s">
        <v>126</v>
      </c>
      <c r="AY68" s="61"/>
      <c r="AZ68" s="61"/>
      <c r="BA68" s="61"/>
      <c r="BB68" s="61"/>
      <c r="BC68" s="62"/>
      <c r="BE68" s="12"/>
      <c r="BF68" s="60" t="s">
        <v>126</v>
      </c>
      <c r="BG68" s="61"/>
      <c r="BH68" s="61"/>
      <c r="BI68" s="61"/>
      <c r="BJ68" s="61"/>
      <c r="BK68" s="62"/>
      <c r="BN68" s="60" t="s">
        <v>126</v>
      </c>
      <c r="BO68" s="61"/>
      <c r="BP68" s="61"/>
      <c r="BQ68" s="61"/>
      <c r="BR68" s="61"/>
      <c r="BS68" s="62"/>
      <c r="BV68" s="60" t="s">
        <v>126</v>
      </c>
      <c r="BW68" s="61"/>
      <c r="BX68" s="61"/>
      <c r="BY68" s="61"/>
      <c r="BZ68" s="61"/>
      <c r="CA68" s="62"/>
      <c r="CC68" s="12"/>
      <c r="CD68" s="60" t="s">
        <v>126</v>
      </c>
      <c r="CE68" s="61"/>
      <c r="CF68" s="61"/>
      <c r="CG68" s="61"/>
      <c r="CH68" s="61"/>
      <c r="CI68" s="62"/>
      <c r="CL68" s="60" t="s">
        <v>126</v>
      </c>
      <c r="CM68" s="61"/>
      <c r="CN68" s="61"/>
      <c r="CO68" s="61"/>
      <c r="CP68" s="61"/>
      <c r="CQ68" s="62"/>
      <c r="CT68" s="60" t="s">
        <v>126</v>
      </c>
      <c r="CU68" s="61"/>
      <c r="CV68" s="61"/>
      <c r="CW68" s="61"/>
      <c r="CX68" s="61"/>
      <c r="CY68" s="62"/>
      <c r="DA68" s="12"/>
      <c r="DB68" s="60" t="s">
        <v>126</v>
      </c>
      <c r="DC68" s="61"/>
      <c r="DD68" s="61"/>
      <c r="DE68" s="61"/>
      <c r="DF68" s="61"/>
      <c r="DG68" s="62"/>
      <c r="DJ68" s="60" t="s">
        <v>126</v>
      </c>
      <c r="DK68" s="61"/>
      <c r="DL68" s="61"/>
      <c r="DM68" s="61"/>
      <c r="DN68" s="61"/>
      <c r="DO68" s="62"/>
      <c r="DR68" s="60" t="s">
        <v>126</v>
      </c>
      <c r="DS68" s="61"/>
      <c r="DT68" s="61"/>
      <c r="DU68" s="61"/>
      <c r="DV68" s="61"/>
      <c r="DW68" s="62"/>
      <c r="DZ68" s="60" t="s">
        <v>126</v>
      </c>
      <c r="EA68" s="61"/>
      <c r="EB68" s="61"/>
      <c r="EC68" s="61"/>
      <c r="ED68" s="61"/>
      <c r="EE68" s="62"/>
    </row>
    <row r="69" spans="2:137" s="7" customFormat="1" x14ac:dyDescent="0.25">
      <c r="C69" s="7">
        <v>51</v>
      </c>
      <c r="D69" s="7">
        <v>55</v>
      </c>
      <c r="F69" s="7">
        <v>285</v>
      </c>
      <c r="I69" s="10"/>
      <c r="K69" s="7">
        <v>104.54</v>
      </c>
      <c r="L69" s="7">
        <v>202.94399999999999</v>
      </c>
      <c r="N69" s="7">
        <v>280.70699999999999</v>
      </c>
      <c r="S69" s="7">
        <v>2.0499999999999998</v>
      </c>
      <c r="T69" s="7">
        <v>3.69</v>
      </c>
      <c r="V69" s="7">
        <v>0.98499999999999999</v>
      </c>
      <c r="AA69" s="7">
        <v>495.13</v>
      </c>
      <c r="AB69" s="7">
        <v>885.57899999999995</v>
      </c>
      <c r="AD69" s="7">
        <v>1476.2059999999999</v>
      </c>
      <c r="AI69" s="7">
        <v>9.7080000000000002</v>
      </c>
      <c r="AJ69" s="7">
        <v>16.100999999999999</v>
      </c>
      <c r="AL69" s="7">
        <v>5.18</v>
      </c>
      <c r="AQ69" s="7">
        <v>3.0430000000000001</v>
      </c>
      <c r="AR69" s="7">
        <v>2.8119999999999998</v>
      </c>
      <c r="AT69" s="7">
        <v>2.448</v>
      </c>
      <c r="AY69" s="7">
        <v>3.7839999999999998</v>
      </c>
      <c r="AZ69" s="7">
        <v>5.7809999999999997</v>
      </c>
      <c r="BB69" s="7">
        <v>2.2730000000000001</v>
      </c>
      <c r="BG69" s="7">
        <v>90</v>
      </c>
      <c r="BH69" s="7">
        <v>175</v>
      </c>
      <c r="BJ69" s="7">
        <v>374</v>
      </c>
      <c r="BO69" s="7">
        <v>1.7649999999999999</v>
      </c>
      <c r="BP69" s="7">
        <v>3.1819999999999999</v>
      </c>
      <c r="BR69" s="7">
        <v>1.3120000000000001</v>
      </c>
      <c r="BW69" s="7">
        <v>214.04599999999999</v>
      </c>
      <c r="BX69" s="7">
        <v>423.78199999999998</v>
      </c>
      <c r="BZ69" s="7">
        <v>515.03700000000003</v>
      </c>
      <c r="CE69" s="7">
        <v>4.1970000000000001</v>
      </c>
      <c r="CF69" s="7">
        <v>7.7050000000000001</v>
      </c>
      <c r="CH69" s="7">
        <v>1.8069999999999999</v>
      </c>
      <c r="CM69" s="7">
        <v>2.3780000000000001</v>
      </c>
      <c r="CN69" s="7">
        <v>2.4220000000000002</v>
      </c>
      <c r="CP69" s="7">
        <v>1.377</v>
      </c>
      <c r="CU69" s="7">
        <v>21</v>
      </c>
      <c r="CV69" s="7">
        <v>62</v>
      </c>
      <c r="CX69" s="7">
        <v>45</v>
      </c>
      <c r="DC69" s="7">
        <v>0.41199999999999998</v>
      </c>
      <c r="DD69" s="7">
        <v>1.127</v>
      </c>
      <c r="DF69" s="7">
        <v>0.158</v>
      </c>
      <c r="DK69" s="7">
        <v>115</v>
      </c>
      <c r="DL69" s="7">
        <v>156</v>
      </c>
      <c r="DN69" s="7">
        <v>564</v>
      </c>
      <c r="DS69" s="7">
        <v>2.2549999999999999</v>
      </c>
      <c r="DT69" s="7">
        <v>2.8359999999999999</v>
      </c>
      <c r="DV69" s="7">
        <v>1.9790000000000001</v>
      </c>
      <c r="EA69" s="7">
        <v>0.48299999999999998</v>
      </c>
      <c r="EB69" s="7">
        <v>0.48599999999999999</v>
      </c>
      <c r="ED69" s="7">
        <v>0.46100000000000002</v>
      </c>
    </row>
    <row r="70" spans="2:137" s="7" customFormat="1" x14ac:dyDescent="0.25">
      <c r="C70" s="7">
        <v>89</v>
      </c>
      <c r="D70" s="7">
        <v>55</v>
      </c>
      <c r="F70" s="7">
        <v>159</v>
      </c>
      <c r="I70" s="10"/>
      <c r="K70" s="7">
        <v>118.72799999999999</v>
      </c>
      <c r="L70" s="7">
        <v>132.607</v>
      </c>
      <c r="N70" s="7">
        <v>300.43200000000002</v>
      </c>
      <c r="S70" s="7">
        <v>1.3340000000000001</v>
      </c>
      <c r="T70" s="7">
        <v>2.411</v>
      </c>
      <c r="V70" s="7">
        <v>1.89</v>
      </c>
      <c r="AA70" s="7">
        <v>572.24</v>
      </c>
      <c r="AB70" s="7">
        <v>608.471</v>
      </c>
      <c r="AD70" s="7">
        <v>1395.9349999999999</v>
      </c>
      <c r="AI70" s="7">
        <v>6.43</v>
      </c>
      <c r="AJ70" s="7">
        <v>11.063000000000001</v>
      </c>
      <c r="AL70" s="7">
        <v>8.7789999999999999</v>
      </c>
      <c r="AQ70" s="7">
        <v>3.1509999999999998</v>
      </c>
      <c r="AR70" s="7">
        <v>4.2910000000000004</v>
      </c>
      <c r="AT70" s="7">
        <v>2.7709999999999999</v>
      </c>
      <c r="AY70" s="7">
        <v>2.5710000000000002</v>
      </c>
      <c r="AZ70" s="7">
        <v>4.17</v>
      </c>
      <c r="BB70" s="7">
        <v>3.399</v>
      </c>
      <c r="BG70" s="7">
        <v>121</v>
      </c>
      <c r="BH70" s="7">
        <v>90</v>
      </c>
      <c r="BJ70" s="7">
        <v>298</v>
      </c>
      <c r="BO70" s="7">
        <v>1.36</v>
      </c>
      <c r="BP70" s="7">
        <v>1.6359999999999999</v>
      </c>
      <c r="BR70" s="7">
        <v>1.8740000000000001</v>
      </c>
      <c r="BW70" s="7">
        <v>209.28800000000001</v>
      </c>
      <c r="BX70" s="7">
        <v>260.358</v>
      </c>
      <c r="BZ70" s="7">
        <v>595.15300000000002</v>
      </c>
      <c r="CE70" s="7">
        <v>2.3519999999999999</v>
      </c>
      <c r="CF70" s="7">
        <v>4.734</v>
      </c>
      <c r="CH70" s="7">
        <v>3.7429999999999999</v>
      </c>
      <c r="CM70" s="7">
        <v>1.73</v>
      </c>
      <c r="CN70" s="7">
        <v>2.8929999999999998</v>
      </c>
      <c r="CP70" s="7">
        <v>1.9970000000000001</v>
      </c>
      <c r="CU70" s="7">
        <v>17</v>
      </c>
      <c r="CV70" s="7">
        <v>18</v>
      </c>
      <c r="CX70" s="7">
        <v>73</v>
      </c>
      <c r="DC70" s="7">
        <v>0.191</v>
      </c>
      <c r="DD70" s="7">
        <v>0.32700000000000001</v>
      </c>
      <c r="DF70" s="7">
        <v>0.45900000000000002</v>
      </c>
      <c r="DK70" s="7">
        <v>182</v>
      </c>
      <c r="DL70" s="7">
        <v>119</v>
      </c>
      <c r="DN70" s="7">
        <v>362</v>
      </c>
      <c r="DS70" s="7">
        <v>2.0449999999999999</v>
      </c>
      <c r="DT70" s="7">
        <v>2.1640000000000001</v>
      </c>
      <c r="DV70" s="7">
        <v>2.2770000000000001</v>
      </c>
      <c r="EA70" s="7">
        <v>0.48799999999999999</v>
      </c>
      <c r="EB70" s="7">
        <v>0.499</v>
      </c>
      <c r="ED70" s="7">
        <v>0.48099999999999998</v>
      </c>
    </row>
    <row r="71" spans="2:137" s="7" customFormat="1" x14ac:dyDescent="0.25">
      <c r="C71" s="7">
        <v>278</v>
      </c>
      <c r="D71" s="7">
        <v>46</v>
      </c>
      <c r="F71" s="7">
        <v>278</v>
      </c>
      <c r="I71" s="10"/>
      <c r="K71" s="7">
        <v>382.92500000000001</v>
      </c>
      <c r="L71" s="7">
        <v>167.833</v>
      </c>
      <c r="N71" s="7">
        <v>236.303</v>
      </c>
      <c r="S71" s="7">
        <v>1.377</v>
      </c>
      <c r="T71" s="7">
        <v>3.649</v>
      </c>
      <c r="V71" s="7">
        <v>0.85</v>
      </c>
      <c r="AA71" s="7">
        <v>1979.5139999999999</v>
      </c>
      <c r="AB71" s="7">
        <v>664.63900000000001</v>
      </c>
      <c r="AD71" s="7">
        <v>1313.9829999999999</v>
      </c>
      <c r="AI71" s="7">
        <v>7.1210000000000004</v>
      </c>
      <c r="AJ71" s="7">
        <v>14.449</v>
      </c>
      <c r="AL71" s="7">
        <v>4.7270000000000003</v>
      </c>
      <c r="AQ71" s="7">
        <v>3.331</v>
      </c>
      <c r="AR71" s="7">
        <v>3.2189999999999999</v>
      </c>
      <c r="AT71" s="7">
        <v>2.8940000000000001</v>
      </c>
      <c r="AY71" s="7">
        <v>3.0419999999999998</v>
      </c>
      <c r="AZ71" s="7">
        <v>4.8419999999999996</v>
      </c>
      <c r="BB71" s="7">
        <v>2.194</v>
      </c>
      <c r="BG71" s="7">
        <v>387</v>
      </c>
      <c r="BH71" s="7">
        <v>109</v>
      </c>
      <c r="BJ71" s="7">
        <v>333</v>
      </c>
      <c r="BO71" s="7">
        <v>1.3919999999999999</v>
      </c>
      <c r="BP71" s="7">
        <v>2.37</v>
      </c>
      <c r="BR71" s="7">
        <v>1.198</v>
      </c>
      <c r="BW71" s="7">
        <v>767.50300000000004</v>
      </c>
      <c r="BX71" s="7">
        <v>344.947</v>
      </c>
      <c r="BZ71" s="7">
        <v>456.54399999999998</v>
      </c>
      <c r="CE71" s="7">
        <v>2.7610000000000001</v>
      </c>
      <c r="CF71" s="7">
        <v>7.4989999999999997</v>
      </c>
      <c r="CH71" s="7">
        <v>1.6419999999999999</v>
      </c>
      <c r="CM71" s="7">
        <v>1.9830000000000001</v>
      </c>
      <c r="CN71" s="7">
        <v>3.165</v>
      </c>
      <c r="CP71" s="7">
        <v>1.371</v>
      </c>
      <c r="CU71" s="7">
        <v>55</v>
      </c>
      <c r="CV71" s="7">
        <v>34</v>
      </c>
      <c r="CX71" s="7">
        <v>28</v>
      </c>
      <c r="DC71" s="7">
        <v>0.19800000000000001</v>
      </c>
      <c r="DD71" s="7">
        <v>0.73899999999999999</v>
      </c>
      <c r="DF71" s="7">
        <v>0.10100000000000001</v>
      </c>
      <c r="DK71" s="7">
        <v>573</v>
      </c>
      <c r="DL71" s="7">
        <v>106</v>
      </c>
      <c r="DN71" s="7">
        <v>541</v>
      </c>
      <c r="DS71" s="7">
        <v>2.0609999999999999</v>
      </c>
      <c r="DT71" s="7">
        <v>2.3039999999999998</v>
      </c>
      <c r="DV71" s="7">
        <v>1.946</v>
      </c>
      <c r="EA71" s="7">
        <v>0.45600000000000002</v>
      </c>
      <c r="EB71" s="7">
        <v>0.498</v>
      </c>
      <c r="ED71" s="7">
        <v>0.443</v>
      </c>
    </row>
    <row r="72" spans="2:137" s="7" customFormat="1" x14ac:dyDescent="0.25">
      <c r="C72" s="7">
        <v>98</v>
      </c>
      <c r="D72" s="7">
        <v>71</v>
      </c>
      <c r="F72" s="7">
        <v>266</v>
      </c>
      <c r="I72" s="10"/>
      <c r="K72" s="7">
        <v>181.66499999999999</v>
      </c>
      <c r="L72" s="7">
        <v>113.791</v>
      </c>
      <c r="N72" s="7">
        <v>280.39499999999998</v>
      </c>
      <c r="S72" s="7">
        <v>1.8540000000000001</v>
      </c>
      <c r="T72" s="7">
        <v>1.603</v>
      </c>
      <c r="V72" s="7">
        <v>1.054</v>
      </c>
      <c r="AA72" s="7">
        <v>884.93399999999997</v>
      </c>
      <c r="AB72" s="7">
        <v>541.61599999999999</v>
      </c>
      <c r="AD72" s="7">
        <v>1543.3869999999999</v>
      </c>
      <c r="AI72" s="7">
        <v>9.0299999999999994</v>
      </c>
      <c r="AJ72" s="7">
        <v>7.6280000000000001</v>
      </c>
      <c r="AL72" s="7">
        <v>5.8019999999999996</v>
      </c>
      <c r="AQ72" s="7">
        <v>2.6760000000000002</v>
      </c>
      <c r="AR72" s="7">
        <v>2.758</v>
      </c>
      <c r="AT72" s="7">
        <v>2.9329999999999998</v>
      </c>
      <c r="AY72" s="7">
        <v>3.6309999999999998</v>
      </c>
      <c r="AZ72" s="7">
        <v>3.0270000000000001</v>
      </c>
      <c r="BB72" s="7">
        <v>2.6269999999999998</v>
      </c>
      <c r="BG72" s="7">
        <v>170</v>
      </c>
      <c r="BH72" s="7">
        <v>126</v>
      </c>
      <c r="BJ72" s="7">
        <v>348</v>
      </c>
      <c r="BO72" s="7">
        <v>1.7350000000000001</v>
      </c>
      <c r="BP72" s="7">
        <v>1.7749999999999999</v>
      </c>
      <c r="BR72" s="7">
        <v>1.3080000000000001</v>
      </c>
      <c r="BW72" s="7">
        <v>365.66500000000002</v>
      </c>
      <c r="BX72" s="7">
        <v>223.886</v>
      </c>
      <c r="BZ72" s="7">
        <v>577.11400000000003</v>
      </c>
      <c r="CE72" s="7">
        <v>3.7309999999999999</v>
      </c>
      <c r="CF72" s="7">
        <v>3.153</v>
      </c>
      <c r="CH72" s="7">
        <v>2.17</v>
      </c>
      <c r="CM72" s="7">
        <v>2.1509999999999998</v>
      </c>
      <c r="CN72" s="7">
        <v>1.7769999999999999</v>
      </c>
      <c r="CP72" s="7">
        <v>1.6579999999999999</v>
      </c>
      <c r="CU72" s="7">
        <v>37</v>
      </c>
      <c r="CV72" s="7">
        <v>29</v>
      </c>
      <c r="CX72" s="7">
        <v>42</v>
      </c>
      <c r="DC72" s="7">
        <v>0.378</v>
      </c>
      <c r="DD72" s="7">
        <v>0.40799999999999997</v>
      </c>
      <c r="DF72" s="7">
        <v>0.158</v>
      </c>
      <c r="DK72" s="7">
        <v>211</v>
      </c>
      <c r="DL72" s="7">
        <v>159</v>
      </c>
      <c r="DN72" s="7">
        <v>540</v>
      </c>
      <c r="DS72" s="7">
        <v>2.153</v>
      </c>
      <c r="DT72" s="7">
        <v>2.2389999999999999</v>
      </c>
      <c r="DV72" s="7">
        <v>2.0299999999999998</v>
      </c>
      <c r="EA72" s="7">
        <v>0.47199999999999998</v>
      </c>
      <c r="EB72" s="7">
        <v>0.48299999999999998</v>
      </c>
      <c r="ED72" s="7">
        <v>0.438</v>
      </c>
    </row>
    <row r="73" spans="2:137" s="7" customFormat="1" x14ac:dyDescent="0.25">
      <c r="D73" s="7">
        <v>47</v>
      </c>
      <c r="F73" s="7">
        <v>149</v>
      </c>
      <c r="I73" s="10"/>
      <c r="L73" s="7">
        <v>200.95599999999999</v>
      </c>
      <c r="N73" s="7">
        <v>129.03899999999999</v>
      </c>
      <c r="T73" s="7">
        <v>4.2759999999999998</v>
      </c>
      <c r="V73" s="7">
        <v>0.86599999999999999</v>
      </c>
      <c r="AB73" s="7">
        <v>906.40499999999997</v>
      </c>
      <c r="AD73" s="7">
        <v>707.78099999999995</v>
      </c>
      <c r="AJ73" s="7">
        <v>19.285</v>
      </c>
      <c r="AL73" s="7">
        <v>4.75</v>
      </c>
      <c r="AR73" s="7">
        <v>4.9950000000000001</v>
      </c>
      <c r="AT73" s="7">
        <v>2.621</v>
      </c>
      <c r="AZ73" s="7">
        <v>7.0380000000000003</v>
      </c>
      <c r="BB73" s="7">
        <v>2.2000000000000002</v>
      </c>
      <c r="BH73" s="7">
        <v>110</v>
      </c>
      <c r="BJ73" s="7">
        <v>195</v>
      </c>
      <c r="BP73" s="7">
        <v>2.34</v>
      </c>
      <c r="BR73" s="7">
        <v>1.3089999999999999</v>
      </c>
      <c r="BX73" s="7">
        <v>423.17</v>
      </c>
      <c r="BZ73" s="7">
        <v>238.822</v>
      </c>
      <c r="CF73" s="7">
        <v>9.0039999999999996</v>
      </c>
      <c r="CH73" s="7">
        <v>1.603</v>
      </c>
      <c r="CN73" s="7">
        <v>3.847</v>
      </c>
      <c r="CP73" s="7">
        <v>1.2250000000000001</v>
      </c>
      <c r="CV73" s="7">
        <v>33</v>
      </c>
      <c r="CX73" s="7">
        <v>23</v>
      </c>
      <c r="DD73" s="7">
        <v>0.70199999999999996</v>
      </c>
      <c r="DF73" s="7">
        <v>0.154</v>
      </c>
      <c r="DL73" s="7">
        <v>113</v>
      </c>
      <c r="DN73" s="7">
        <v>298</v>
      </c>
      <c r="DT73" s="7">
        <v>2.4039999999999999</v>
      </c>
      <c r="DV73" s="7">
        <v>2</v>
      </c>
      <c r="EB73" s="7">
        <v>0.49199999999999999</v>
      </c>
      <c r="ED73" s="7">
        <v>0.44500000000000001</v>
      </c>
    </row>
    <row r="74" spans="2:137" s="7" customFormat="1" x14ac:dyDescent="0.25">
      <c r="D74" s="7">
        <v>111</v>
      </c>
      <c r="I74" s="10"/>
      <c r="L74" s="7">
        <v>251.291</v>
      </c>
      <c r="T74" s="7">
        <v>2.2639999999999998</v>
      </c>
      <c r="AB74" s="7">
        <v>1176.001</v>
      </c>
      <c r="AJ74" s="7">
        <v>10.595000000000001</v>
      </c>
      <c r="AR74" s="7">
        <v>2.6150000000000002</v>
      </c>
      <c r="AZ74" s="7">
        <v>4.056</v>
      </c>
      <c r="BH74" s="7">
        <v>238</v>
      </c>
      <c r="BP74" s="7">
        <v>2.1440000000000001</v>
      </c>
      <c r="BX74" s="7">
        <v>497.88600000000002</v>
      </c>
      <c r="CF74" s="7">
        <v>4.4850000000000003</v>
      </c>
      <c r="CN74" s="7">
        <v>2.0920000000000001</v>
      </c>
      <c r="CV74" s="7">
        <v>64</v>
      </c>
      <c r="DD74" s="7">
        <v>0.57699999999999996</v>
      </c>
      <c r="DL74" s="7">
        <v>270</v>
      </c>
      <c r="DT74" s="7">
        <v>2.4319999999999999</v>
      </c>
      <c r="EB74" s="7">
        <v>0.48099999999999998</v>
      </c>
    </row>
    <row r="75" spans="2:137" s="7" customFormat="1" x14ac:dyDescent="0.25">
      <c r="I75" s="10"/>
    </row>
    <row r="78" spans="2:137" x14ac:dyDescent="0.25">
      <c r="B78" s="11"/>
      <c r="C78" s="11" t="s">
        <v>89</v>
      </c>
      <c r="D78" s="11" t="s">
        <v>90</v>
      </c>
      <c r="E78" s="11" t="s">
        <v>91</v>
      </c>
      <c r="F78" s="11">
        <v>1506257</v>
      </c>
      <c r="G78" s="11" t="s">
        <v>92</v>
      </c>
      <c r="J78" s="11"/>
      <c r="K78" s="11" t="s">
        <v>89</v>
      </c>
      <c r="L78" s="11" t="s">
        <v>90</v>
      </c>
      <c r="M78" s="11" t="s">
        <v>91</v>
      </c>
      <c r="N78" s="11">
        <v>1506257</v>
      </c>
      <c r="O78" s="11" t="s">
        <v>92</v>
      </c>
      <c r="R78" s="11"/>
      <c r="S78" s="11" t="s">
        <v>89</v>
      </c>
      <c r="T78" s="11" t="s">
        <v>90</v>
      </c>
      <c r="U78" s="11" t="s">
        <v>91</v>
      </c>
      <c r="V78" s="11">
        <v>1506257</v>
      </c>
      <c r="W78" s="11" t="s">
        <v>92</v>
      </c>
      <c r="Z78" s="11"/>
      <c r="AA78" s="11" t="s">
        <v>89</v>
      </c>
      <c r="AB78" s="11" t="s">
        <v>90</v>
      </c>
      <c r="AC78" s="11" t="s">
        <v>91</v>
      </c>
      <c r="AD78" s="11">
        <v>1506257</v>
      </c>
      <c r="AE78" s="11" t="s">
        <v>92</v>
      </c>
      <c r="AH78" s="11"/>
      <c r="AI78" s="11" t="s">
        <v>89</v>
      </c>
      <c r="AJ78" s="11" t="s">
        <v>90</v>
      </c>
      <c r="AK78" s="11" t="s">
        <v>91</v>
      </c>
      <c r="AL78" s="11">
        <v>1506257</v>
      </c>
      <c r="AM78" s="11" t="s">
        <v>92</v>
      </c>
      <c r="AP78" s="11"/>
      <c r="AQ78" s="11" t="s">
        <v>89</v>
      </c>
      <c r="AR78" s="11" t="s">
        <v>90</v>
      </c>
      <c r="AS78" s="11" t="s">
        <v>91</v>
      </c>
      <c r="AT78" s="11">
        <v>1506257</v>
      </c>
      <c r="AU78" s="11" t="s">
        <v>92</v>
      </c>
      <c r="AX78" s="11"/>
      <c r="AY78" s="11" t="s">
        <v>89</v>
      </c>
      <c r="AZ78" s="11" t="s">
        <v>90</v>
      </c>
      <c r="BA78" s="11" t="s">
        <v>91</v>
      </c>
      <c r="BB78" s="11">
        <v>1506257</v>
      </c>
      <c r="BC78" s="11" t="s">
        <v>92</v>
      </c>
      <c r="BF78" s="11"/>
      <c r="BG78" s="11" t="s">
        <v>89</v>
      </c>
      <c r="BH78" s="11" t="s">
        <v>90</v>
      </c>
      <c r="BI78" s="11" t="s">
        <v>91</v>
      </c>
      <c r="BJ78" s="11">
        <v>1506257</v>
      </c>
      <c r="BK78" s="11" t="s">
        <v>92</v>
      </c>
      <c r="BN78" s="11"/>
      <c r="BO78" s="11" t="s">
        <v>89</v>
      </c>
      <c r="BP78" s="11" t="s">
        <v>90</v>
      </c>
      <c r="BQ78" s="11" t="s">
        <v>91</v>
      </c>
      <c r="BR78" s="11">
        <v>1506257</v>
      </c>
      <c r="BS78" s="11" t="s">
        <v>92</v>
      </c>
      <c r="BV78" s="11"/>
      <c r="BW78" s="11" t="s">
        <v>89</v>
      </c>
      <c r="BX78" s="11" t="s">
        <v>90</v>
      </c>
      <c r="BY78" s="11" t="s">
        <v>91</v>
      </c>
      <c r="BZ78" s="11">
        <v>1506257</v>
      </c>
      <c r="CA78" s="11" t="s">
        <v>92</v>
      </c>
      <c r="CD78" s="11"/>
      <c r="CE78" s="11" t="s">
        <v>89</v>
      </c>
      <c r="CF78" s="11" t="s">
        <v>90</v>
      </c>
      <c r="CG78" s="11" t="s">
        <v>91</v>
      </c>
      <c r="CH78" s="11">
        <v>1506257</v>
      </c>
      <c r="CI78" s="11" t="s">
        <v>92</v>
      </c>
      <c r="CL78" s="11"/>
      <c r="CM78" s="11" t="s">
        <v>89</v>
      </c>
      <c r="CN78" s="11" t="s">
        <v>90</v>
      </c>
      <c r="CO78" s="11" t="s">
        <v>91</v>
      </c>
      <c r="CP78" s="11">
        <v>1506257</v>
      </c>
      <c r="CQ78" s="11" t="s">
        <v>92</v>
      </c>
      <c r="CT78" s="11"/>
      <c r="CU78" s="11" t="s">
        <v>89</v>
      </c>
      <c r="CV78" s="11" t="s">
        <v>90</v>
      </c>
      <c r="CW78" s="11" t="s">
        <v>91</v>
      </c>
      <c r="CX78" s="11">
        <v>1506257</v>
      </c>
      <c r="CY78" s="11" t="s">
        <v>92</v>
      </c>
      <c r="DB78" s="11"/>
      <c r="DC78" s="11" t="s">
        <v>89</v>
      </c>
      <c r="DD78" s="11" t="s">
        <v>90</v>
      </c>
      <c r="DE78" s="11" t="s">
        <v>91</v>
      </c>
      <c r="DF78" s="11">
        <v>1506257</v>
      </c>
      <c r="DG78" s="11" t="s">
        <v>92</v>
      </c>
      <c r="DJ78" s="11"/>
      <c r="DK78" s="11" t="s">
        <v>89</v>
      </c>
      <c r="DL78" s="11" t="s">
        <v>90</v>
      </c>
      <c r="DM78" s="11" t="s">
        <v>91</v>
      </c>
      <c r="DN78" s="11">
        <v>1506257</v>
      </c>
      <c r="DO78" s="11" t="s">
        <v>92</v>
      </c>
      <c r="DR78" s="11"/>
      <c r="DS78" s="11" t="s">
        <v>89</v>
      </c>
      <c r="DT78" s="11" t="s">
        <v>90</v>
      </c>
      <c r="DU78" s="11" t="s">
        <v>91</v>
      </c>
      <c r="DV78" s="11">
        <v>1506257</v>
      </c>
      <c r="DW78" s="11" t="s">
        <v>92</v>
      </c>
      <c r="DZ78" s="11"/>
      <c r="EA78" s="11" t="s">
        <v>89</v>
      </c>
      <c r="EB78" s="11" t="s">
        <v>90</v>
      </c>
      <c r="EC78" s="11" t="s">
        <v>91</v>
      </c>
      <c r="ED78" s="11">
        <v>1506257</v>
      </c>
      <c r="EE78" s="11" t="s">
        <v>92</v>
      </c>
    </row>
    <row r="79" spans="2:137" s="15" customFormat="1" ht="33" customHeight="1" x14ac:dyDescent="0.25">
      <c r="B79" s="59" t="s">
        <v>1</v>
      </c>
      <c r="C79" s="59"/>
      <c r="D79" s="59"/>
      <c r="E79" s="59"/>
      <c r="F79" s="59"/>
      <c r="G79" s="59"/>
      <c r="H79"/>
      <c r="I79" s="14"/>
      <c r="J79" s="59" t="s">
        <v>2</v>
      </c>
      <c r="K79" s="59"/>
      <c r="L79" s="59"/>
      <c r="M79" s="59"/>
      <c r="N79" s="59"/>
      <c r="O79" s="59"/>
      <c r="P79"/>
      <c r="Q79" s="14"/>
      <c r="R79" s="59" t="s">
        <v>3</v>
      </c>
      <c r="S79" s="59"/>
      <c r="T79" s="59"/>
      <c r="U79" s="59"/>
      <c r="V79" s="59"/>
      <c r="W79" s="59"/>
      <c r="X79"/>
      <c r="Y79" s="14"/>
      <c r="Z79" s="63" t="s">
        <v>4</v>
      </c>
      <c r="AA79" s="63"/>
      <c r="AB79" s="63"/>
      <c r="AC79" s="63"/>
      <c r="AD79" s="63"/>
      <c r="AE79" s="63"/>
      <c r="AF79"/>
      <c r="AG79" s="14"/>
      <c r="AH79" s="59" t="s">
        <v>5</v>
      </c>
      <c r="AI79" s="59"/>
      <c r="AJ79" s="59"/>
      <c r="AK79" s="59"/>
      <c r="AL79" s="59"/>
      <c r="AM79" s="59"/>
      <c r="AN79"/>
      <c r="AO79" s="14"/>
      <c r="AP79" s="59" t="s">
        <v>6</v>
      </c>
      <c r="AQ79" s="59"/>
      <c r="AR79" s="59"/>
      <c r="AS79" s="59"/>
      <c r="AT79" s="59"/>
      <c r="AU79" s="59"/>
      <c r="AV79"/>
      <c r="AW79" s="14"/>
      <c r="AX79" s="59" t="s">
        <v>7</v>
      </c>
      <c r="AY79" s="59"/>
      <c r="AZ79" s="59"/>
      <c r="BA79" s="59"/>
      <c r="BB79" s="59"/>
      <c r="BC79" s="59"/>
      <c r="BD79"/>
      <c r="BE79" s="14"/>
      <c r="BF79" s="59" t="s">
        <v>8</v>
      </c>
      <c r="BG79" s="59"/>
      <c r="BH79" s="59"/>
      <c r="BI79" s="59"/>
      <c r="BJ79" s="59"/>
      <c r="BK79" s="59"/>
      <c r="BL79"/>
      <c r="BM79" s="14"/>
      <c r="BN79" s="59" t="s">
        <v>9</v>
      </c>
      <c r="BO79" s="59"/>
      <c r="BP79" s="59"/>
      <c r="BQ79" s="59"/>
      <c r="BR79" s="59"/>
      <c r="BS79" s="59"/>
      <c r="BT79"/>
      <c r="BU79" s="14"/>
      <c r="BV79" s="59" t="s">
        <v>10</v>
      </c>
      <c r="BW79" s="59"/>
      <c r="BX79" s="59"/>
      <c r="BY79" s="59"/>
      <c r="BZ79" s="59"/>
      <c r="CA79" s="59"/>
      <c r="CB79"/>
      <c r="CC79" s="14"/>
      <c r="CD79" s="59" t="s">
        <v>11</v>
      </c>
      <c r="CE79" s="59"/>
      <c r="CF79" s="59"/>
      <c r="CG79" s="59"/>
      <c r="CH79" s="59"/>
      <c r="CI79" s="59"/>
      <c r="CJ79"/>
      <c r="CK79" s="14"/>
      <c r="CL79" s="59" t="s">
        <v>12</v>
      </c>
      <c r="CM79" s="59"/>
      <c r="CN79" s="59"/>
      <c r="CO79" s="59"/>
      <c r="CP79" s="59"/>
      <c r="CQ79" s="59"/>
      <c r="CR79"/>
      <c r="CS79" s="14"/>
      <c r="CT79" s="59" t="s">
        <v>13</v>
      </c>
      <c r="CU79" s="59"/>
      <c r="CV79" s="59"/>
      <c r="CW79" s="59"/>
      <c r="CX79" s="59"/>
      <c r="CY79" s="59"/>
      <c r="CZ79"/>
      <c r="DA79" s="14"/>
      <c r="DB79" s="59" t="s">
        <v>14</v>
      </c>
      <c r="DC79" s="59"/>
      <c r="DD79" s="59"/>
      <c r="DE79" s="59"/>
      <c r="DF79" s="59"/>
      <c r="DG79" s="59"/>
      <c r="DH79"/>
      <c r="DI79" s="14"/>
      <c r="DJ79" s="63" t="s">
        <v>15</v>
      </c>
      <c r="DK79" s="63"/>
      <c r="DL79" s="63"/>
      <c r="DM79" s="63"/>
      <c r="DN79" s="63"/>
      <c r="DO79" s="63"/>
      <c r="DP79"/>
      <c r="DQ79" s="14"/>
      <c r="DR79" s="59" t="s">
        <v>16</v>
      </c>
      <c r="DS79" s="59"/>
      <c r="DT79" s="59"/>
      <c r="DU79" s="59"/>
      <c r="DV79" s="59"/>
      <c r="DW79" s="59"/>
      <c r="DX79" s="14"/>
      <c r="DY79" s="14"/>
      <c r="DZ79" s="59" t="s">
        <v>17</v>
      </c>
      <c r="EA79" s="59"/>
      <c r="EB79" s="59"/>
      <c r="EC79" s="59"/>
      <c r="ED79" s="59"/>
      <c r="EE79" s="59"/>
    </row>
    <row r="80" spans="2:137" x14ac:dyDescent="0.25">
      <c r="B80" s="60" t="s">
        <v>200</v>
      </c>
      <c r="C80" s="61"/>
      <c r="D80" s="61"/>
      <c r="E80" s="61"/>
      <c r="F80" s="61"/>
      <c r="G80" s="62"/>
      <c r="J80" s="60" t="s">
        <v>200</v>
      </c>
      <c r="K80" s="61"/>
      <c r="L80" s="61"/>
      <c r="M80" s="61"/>
      <c r="N80" s="61"/>
      <c r="O80" s="62"/>
      <c r="Q80" s="12"/>
      <c r="R80" s="60" t="s">
        <v>200</v>
      </c>
      <c r="S80" s="61"/>
      <c r="T80" s="61"/>
      <c r="U80" s="61"/>
      <c r="V80" s="61"/>
      <c r="W80" s="62"/>
      <c r="Y80" s="12"/>
      <c r="Z80" s="60" t="s">
        <v>200</v>
      </c>
      <c r="AA80" s="61"/>
      <c r="AB80" s="61"/>
      <c r="AC80" s="61"/>
      <c r="AD80" s="61"/>
      <c r="AE80" s="62"/>
      <c r="AG80" s="12"/>
      <c r="AH80" s="60" t="s">
        <v>200</v>
      </c>
      <c r="AI80" s="61"/>
      <c r="AJ80" s="61"/>
      <c r="AK80" s="61"/>
      <c r="AL80" s="61"/>
      <c r="AM80" s="62"/>
      <c r="AO80" s="12"/>
      <c r="AP80" s="60" t="s">
        <v>200</v>
      </c>
      <c r="AQ80" s="61"/>
      <c r="AR80" s="61"/>
      <c r="AS80" s="61"/>
      <c r="AT80" s="61"/>
      <c r="AU80" s="62"/>
      <c r="AW80" s="12"/>
      <c r="AX80" s="60" t="s">
        <v>200</v>
      </c>
      <c r="AY80" s="61"/>
      <c r="AZ80" s="61"/>
      <c r="BA80" s="61"/>
      <c r="BB80" s="61"/>
      <c r="BC80" s="62"/>
      <c r="BE80" s="12"/>
      <c r="BF80" s="60" t="s">
        <v>200</v>
      </c>
      <c r="BG80" s="61"/>
      <c r="BH80" s="61"/>
      <c r="BI80" s="61"/>
      <c r="BJ80" s="61"/>
      <c r="BK80" s="62"/>
      <c r="BM80" s="12"/>
      <c r="BN80" s="60" t="s">
        <v>200</v>
      </c>
      <c r="BO80" s="61"/>
      <c r="BP80" s="61"/>
      <c r="BQ80" s="61"/>
      <c r="BR80" s="61"/>
      <c r="BS80" s="62"/>
      <c r="BU80" s="12"/>
      <c r="BV80" s="60" t="s">
        <v>200</v>
      </c>
      <c r="BW80" s="61"/>
      <c r="BX80" s="61"/>
      <c r="BY80" s="61"/>
      <c r="BZ80" s="61"/>
      <c r="CA80" s="62"/>
      <c r="CC80" s="12"/>
      <c r="CD80" s="60" t="s">
        <v>200</v>
      </c>
      <c r="CE80" s="61"/>
      <c r="CF80" s="61"/>
      <c r="CG80" s="61"/>
      <c r="CH80" s="61"/>
      <c r="CI80" s="62"/>
      <c r="CK80" s="12"/>
      <c r="CL80" s="60" t="s">
        <v>200</v>
      </c>
      <c r="CM80" s="61"/>
      <c r="CN80" s="61"/>
      <c r="CO80" s="61"/>
      <c r="CP80" s="61"/>
      <c r="CQ80" s="62"/>
      <c r="CS80" s="12"/>
      <c r="CT80" s="60" t="s">
        <v>200</v>
      </c>
      <c r="CU80" s="61"/>
      <c r="CV80" s="61"/>
      <c r="CW80" s="61"/>
      <c r="CX80" s="61"/>
      <c r="CY80" s="62"/>
      <c r="DA80" s="12"/>
      <c r="DB80" s="60" t="s">
        <v>200</v>
      </c>
      <c r="DC80" s="61"/>
      <c r="DD80" s="61"/>
      <c r="DE80" s="61"/>
      <c r="DF80" s="61"/>
      <c r="DG80" s="62"/>
      <c r="DI80" s="12"/>
      <c r="DJ80" s="60" t="s">
        <v>200</v>
      </c>
      <c r="DK80" s="61"/>
      <c r="DL80" s="61"/>
      <c r="DM80" s="61"/>
      <c r="DN80" s="61"/>
      <c r="DO80" s="62"/>
      <c r="DQ80" s="12"/>
      <c r="DR80" s="60" t="s">
        <v>200</v>
      </c>
      <c r="DS80" s="61"/>
      <c r="DT80" s="61"/>
      <c r="DU80" s="61"/>
      <c r="DV80" s="61"/>
      <c r="DW80" s="62"/>
      <c r="DY80" s="12"/>
      <c r="DZ80" s="60" t="s">
        <v>200</v>
      </c>
      <c r="EA80" s="61"/>
      <c r="EB80" s="61"/>
      <c r="EC80" s="61"/>
      <c r="ED80" s="61"/>
      <c r="EE80" s="62"/>
      <c r="EG80" s="12"/>
    </row>
    <row r="81" spans="2:137" s="7" customFormat="1" x14ac:dyDescent="0.25">
      <c r="C81" s="7">
        <v>71</v>
      </c>
      <c r="F81" s="7">
        <v>178</v>
      </c>
      <c r="I81" s="10"/>
      <c r="K81" s="7">
        <v>267.959</v>
      </c>
      <c r="N81" s="7">
        <v>308.55099999999999</v>
      </c>
      <c r="S81" s="7">
        <v>3.774</v>
      </c>
      <c r="V81" s="7">
        <v>1.7330000000000001</v>
      </c>
      <c r="AA81" s="7">
        <v>1180.075</v>
      </c>
      <c r="AD81" s="7">
        <v>1551.982</v>
      </c>
      <c r="AI81" s="7">
        <v>16.620999999999999</v>
      </c>
      <c r="AL81" s="7">
        <v>8.7189999999999994</v>
      </c>
      <c r="AQ81" s="7">
        <v>3.452</v>
      </c>
      <c r="AT81" s="7">
        <v>3.5630000000000002</v>
      </c>
      <c r="AY81" s="7">
        <v>6.0119999999999996</v>
      </c>
      <c r="BB81" s="7">
        <v>3.61</v>
      </c>
      <c r="BG81" s="7">
        <v>177</v>
      </c>
      <c r="BJ81" s="7">
        <v>275</v>
      </c>
      <c r="BO81" s="7">
        <v>2.4929999999999999</v>
      </c>
      <c r="BR81" s="7">
        <v>1.5449999999999999</v>
      </c>
      <c r="BW81" s="7">
        <v>542.26900000000001</v>
      </c>
      <c r="BZ81" s="7">
        <v>647.94799999999998</v>
      </c>
      <c r="CE81" s="7">
        <v>7.6379999999999999</v>
      </c>
      <c r="CH81" s="7">
        <v>3.64</v>
      </c>
      <c r="CM81" s="7">
        <v>3.0640000000000001</v>
      </c>
      <c r="CP81" s="7">
        <v>2.3559999999999999</v>
      </c>
      <c r="CU81" s="7">
        <v>54</v>
      </c>
      <c r="CX81" s="7">
        <v>50</v>
      </c>
      <c r="DC81" s="7">
        <v>0.76100000000000001</v>
      </c>
      <c r="DF81" s="7">
        <v>0.28100000000000003</v>
      </c>
      <c r="DK81" s="7">
        <v>184</v>
      </c>
      <c r="DN81" s="7">
        <v>377</v>
      </c>
      <c r="DS81" s="7">
        <v>2.5920000000000001</v>
      </c>
      <c r="DV81" s="7">
        <v>2.1179999999999999</v>
      </c>
      <c r="EA81" s="7">
        <v>0.501</v>
      </c>
      <c r="ED81" s="7">
        <v>0.45500000000000002</v>
      </c>
    </row>
    <row r="82" spans="2:137" s="7" customFormat="1" x14ac:dyDescent="0.25">
      <c r="C82" s="7">
        <v>89</v>
      </c>
      <c r="F82" s="7">
        <v>43</v>
      </c>
      <c r="I82" s="10"/>
      <c r="K82" s="7">
        <v>244.446</v>
      </c>
      <c r="N82" s="7">
        <v>143.148</v>
      </c>
      <c r="S82" s="7">
        <v>2.7469999999999999</v>
      </c>
      <c r="V82" s="7">
        <v>3.3290000000000002</v>
      </c>
      <c r="AA82" s="7">
        <v>1124.588</v>
      </c>
      <c r="AD82" s="7">
        <v>651.702</v>
      </c>
      <c r="AI82" s="7">
        <v>12.635999999999999</v>
      </c>
      <c r="AL82" s="7">
        <v>15.156000000000001</v>
      </c>
      <c r="AQ82" s="7">
        <v>3.5430000000000001</v>
      </c>
      <c r="AT82" s="7">
        <v>4.3410000000000002</v>
      </c>
      <c r="AY82" s="7">
        <v>4.8010000000000002</v>
      </c>
      <c r="BB82" s="7">
        <v>5.6379999999999999</v>
      </c>
      <c r="BG82" s="7">
        <v>163</v>
      </c>
      <c r="BJ82" s="7">
        <v>100</v>
      </c>
      <c r="BO82" s="7">
        <v>1.831</v>
      </c>
      <c r="BR82" s="7">
        <v>2.3260000000000001</v>
      </c>
      <c r="BW82" s="7">
        <v>507.66399999999999</v>
      </c>
      <c r="BZ82" s="7">
        <v>290.93299999999999</v>
      </c>
      <c r="CE82" s="7">
        <v>5.7039999999999997</v>
      </c>
      <c r="CH82" s="7">
        <v>6.766</v>
      </c>
      <c r="CM82" s="7">
        <v>3.1150000000000002</v>
      </c>
      <c r="CP82" s="7">
        <v>2.9089999999999998</v>
      </c>
      <c r="CU82" s="7">
        <v>38</v>
      </c>
      <c r="CX82" s="7">
        <v>29</v>
      </c>
      <c r="DC82" s="7">
        <v>0.42699999999999999</v>
      </c>
      <c r="DF82" s="7">
        <v>0.67400000000000004</v>
      </c>
      <c r="DK82" s="7">
        <v>201</v>
      </c>
      <c r="DN82" s="7">
        <v>112</v>
      </c>
      <c r="DS82" s="7">
        <v>2.258</v>
      </c>
      <c r="DV82" s="7">
        <v>2.605</v>
      </c>
      <c r="EA82" s="7">
        <v>0.48</v>
      </c>
      <c r="ED82" s="7">
        <v>0.49099999999999999</v>
      </c>
    </row>
    <row r="83" spans="2:137" s="7" customFormat="1" x14ac:dyDescent="0.25">
      <c r="C83" s="7">
        <v>47</v>
      </c>
      <c r="F83" s="7">
        <v>90</v>
      </c>
      <c r="I83" s="10"/>
      <c r="K83" s="7">
        <v>153.161</v>
      </c>
      <c r="N83" s="7">
        <v>197.33099999999999</v>
      </c>
      <c r="S83" s="7">
        <v>3.2589999999999999</v>
      </c>
      <c r="V83" s="7">
        <v>2.1930000000000001</v>
      </c>
      <c r="AA83" s="7">
        <v>713.06</v>
      </c>
      <c r="AD83" s="7">
        <v>932.84400000000005</v>
      </c>
      <c r="AI83" s="7">
        <v>15.170999999999999</v>
      </c>
      <c r="AL83" s="7">
        <v>10.365</v>
      </c>
      <c r="AQ83" s="7">
        <v>3.2989999999999999</v>
      </c>
      <c r="AT83" s="7">
        <v>3.6110000000000002</v>
      </c>
      <c r="AY83" s="7">
        <v>5.7130000000000001</v>
      </c>
      <c r="BB83" s="7">
        <v>4.0289999999999999</v>
      </c>
      <c r="BG83" s="7">
        <v>126</v>
      </c>
      <c r="BJ83" s="7">
        <v>162</v>
      </c>
      <c r="BO83" s="7">
        <v>2.681</v>
      </c>
      <c r="BR83" s="7">
        <v>1.8</v>
      </c>
      <c r="BW83" s="7">
        <v>320.495</v>
      </c>
      <c r="BZ83" s="7">
        <v>398.745</v>
      </c>
      <c r="CE83" s="7">
        <v>6.819</v>
      </c>
      <c r="CH83" s="7">
        <v>4.431</v>
      </c>
      <c r="CM83" s="7">
        <v>2.544</v>
      </c>
      <c r="CP83" s="7">
        <v>2.4609999999999999</v>
      </c>
      <c r="CU83" s="7">
        <v>42</v>
      </c>
      <c r="CX83" s="7">
        <v>37</v>
      </c>
      <c r="DC83" s="7">
        <v>0.89400000000000002</v>
      </c>
      <c r="DF83" s="7">
        <v>0.41099999999999998</v>
      </c>
      <c r="DK83" s="7">
        <v>120</v>
      </c>
      <c r="DN83" s="7">
        <v>205</v>
      </c>
      <c r="DS83" s="7">
        <v>2.5529999999999999</v>
      </c>
      <c r="DV83" s="7">
        <v>2.278</v>
      </c>
      <c r="EA83" s="7">
        <v>0.48099999999999998</v>
      </c>
      <c r="ED83" s="7">
        <v>0.48399999999999999</v>
      </c>
    </row>
    <row r="84" spans="2:137" s="7" customFormat="1" x14ac:dyDescent="0.25">
      <c r="C84" s="7">
        <v>119</v>
      </c>
      <c r="F84" s="7">
        <v>72</v>
      </c>
      <c r="I84" s="10"/>
      <c r="K84" s="7">
        <v>255.27600000000001</v>
      </c>
      <c r="N84" s="7">
        <v>211.81800000000001</v>
      </c>
      <c r="S84" s="7">
        <v>2.145</v>
      </c>
      <c r="V84" s="7">
        <v>2.9420000000000002</v>
      </c>
      <c r="AA84" s="7">
        <v>1230.19</v>
      </c>
      <c r="AD84" s="7">
        <v>1017.458</v>
      </c>
      <c r="AI84" s="7">
        <v>10.337999999999999</v>
      </c>
      <c r="AL84" s="7">
        <v>14.131</v>
      </c>
      <c r="AQ84" s="7">
        <v>3.9140000000000001</v>
      </c>
      <c r="AT84" s="7">
        <v>4.6669999999999998</v>
      </c>
      <c r="AY84" s="7">
        <v>4.0460000000000003</v>
      </c>
      <c r="BB84" s="7">
        <v>5.5140000000000002</v>
      </c>
      <c r="BG84" s="7">
        <v>179</v>
      </c>
      <c r="BJ84" s="7">
        <v>148</v>
      </c>
      <c r="BO84" s="7">
        <v>1.504</v>
      </c>
      <c r="BR84" s="7">
        <v>2.056</v>
      </c>
      <c r="BW84" s="7">
        <v>521.25900000000001</v>
      </c>
      <c r="BZ84" s="7">
        <v>451.44299999999998</v>
      </c>
      <c r="CE84" s="7">
        <v>4.38</v>
      </c>
      <c r="CH84" s="7">
        <v>6.27</v>
      </c>
      <c r="CM84" s="7">
        <v>2.9119999999999999</v>
      </c>
      <c r="CP84" s="7">
        <v>3.05</v>
      </c>
      <c r="CU84" s="7">
        <v>32</v>
      </c>
      <c r="CX84" s="7">
        <v>38</v>
      </c>
      <c r="DC84" s="7">
        <v>0.26900000000000002</v>
      </c>
      <c r="DF84" s="7">
        <v>0.52800000000000002</v>
      </c>
      <c r="DK84" s="7">
        <v>257</v>
      </c>
      <c r="DN84" s="7">
        <v>172</v>
      </c>
      <c r="DS84" s="7">
        <v>2.16</v>
      </c>
      <c r="DV84" s="7">
        <v>2.3889999999999998</v>
      </c>
      <c r="EA84" s="7">
        <v>0.47899999999999998</v>
      </c>
      <c r="ED84" s="7">
        <v>0.47599999999999998</v>
      </c>
    </row>
    <row r="89" spans="2:137" x14ac:dyDescent="0.25">
      <c r="B89" s="11"/>
      <c r="C89" s="11" t="s">
        <v>89</v>
      </c>
      <c r="D89" s="11" t="s">
        <v>90</v>
      </c>
      <c r="E89" s="11" t="s">
        <v>91</v>
      </c>
      <c r="F89" s="11">
        <v>1506257</v>
      </c>
      <c r="G89" s="11" t="s">
        <v>92</v>
      </c>
      <c r="J89" s="11"/>
      <c r="K89" s="11" t="s">
        <v>89</v>
      </c>
      <c r="L89" s="11" t="s">
        <v>90</v>
      </c>
      <c r="M89" s="11" t="s">
        <v>91</v>
      </c>
      <c r="N89" s="11">
        <v>1506257</v>
      </c>
      <c r="O89" s="11" t="s">
        <v>92</v>
      </c>
      <c r="R89" s="11"/>
      <c r="S89" s="11" t="s">
        <v>89</v>
      </c>
      <c r="T89" s="11" t="s">
        <v>90</v>
      </c>
      <c r="U89" s="11" t="s">
        <v>91</v>
      </c>
      <c r="V89" s="11">
        <v>1506257</v>
      </c>
      <c r="W89" s="11" t="s">
        <v>92</v>
      </c>
      <c r="Z89" s="11"/>
      <c r="AA89" s="11" t="s">
        <v>89</v>
      </c>
      <c r="AB89" s="11" t="s">
        <v>90</v>
      </c>
      <c r="AC89" s="11" t="s">
        <v>91</v>
      </c>
      <c r="AD89" s="11">
        <v>1506257</v>
      </c>
      <c r="AE89" s="11" t="s">
        <v>92</v>
      </c>
      <c r="AH89" s="11"/>
      <c r="AI89" s="11" t="s">
        <v>89</v>
      </c>
      <c r="AJ89" s="11" t="s">
        <v>90</v>
      </c>
      <c r="AK89" s="11" t="s">
        <v>91</v>
      </c>
      <c r="AL89" s="11">
        <v>1506257</v>
      </c>
      <c r="AM89" s="11" t="s">
        <v>92</v>
      </c>
      <c r="AP89" s="11"/>
      <c r="AQ89" s="11" t="s">
        <v>89</v>
      </c>
      <c r="AR89" s="11" t="s">
        <v>90</v>
      </c>
      <c r="AS89" s="11" t="s">
        <v>91</v>
      </c>
      <c r="AT89" s="11">
        <v>1506257</v>
      </c>
      <c r="AU89" s="11" t="s">
        <v>92</v>
      </c>
      <c r="AX89" s="11"/>
      <c r="AY89" s="11" t="s">
        <v>89</v>
      </c>
      <c r="AZ89" s="11" t="s">
        <v>90</v>
      </c>
      <c r="BA89" s="11" t="s">
        <v>91</v>
      </c>
      <c r="BB89" s="11">
        <v>1506257</v>
      </c>
      <c r="BC89" s="11" t="s">
        <v>92</v>
      </c>
      <c r="BF89" s="11"/>
      <c r="BG89" s="11" t="s">
        <v>89</v>
      </c>
      <c r="BH89" s="11" t="s">
        <v>90</v>
      </c>
      <c r="BI89" s="11" t="s">
        <v>91</v>
      </c>
      <c r="BJ89" s="11">
        <v>1506257</v>
      </c>
      <c r="BK89" s="11" t="s">
        <v>92</v>
      </c>
      <c r="BN89" s="11"/>
      <c r="BO89" s="11" t="s">
        <v>89</v>
      </c>
      <c r="BP89" s="11" t="s">
        <v>90</v>
      </c>
      <c r="BQ89" s="11" t="s">
        <v>91</v>
      </c>
      <c r="BR89" s="11">
        <v>1506257</v>
      </c>
      <c r="BS89" s="11" t="s">
        <v>92</v>
      </c>
      <c r="BV89" s="11"/>
      <c r="BW89" s="11" t="s">
        <v>89</v>
      </c>
      <c r="BX89" s="11" t="s">
        <v>90</v>
      </c>
      <c r="BY89" s="11" t="s">
        <v>91</v>
      </c>
      <c r="BZ89" s="11">
        <v>1506257</v>
      </c>
      <c r="CA89" s="11" t="s">
        <v>92</v>
      </c>
      <c r="CD89" s="11"/>
      <c r="CE89" s="11" t="s">
        <v>89</v>
      </c>
      <c r="CF89" s="11" t="s">
        <v>90</v>
      </c>
      <c r="CG89" s="11" t="s">
        <v>91</v>
      </c>
      <c r="CH89" s="11">
        <v>1506257</v>
      </c>
      <c r="CI89" s="11" t="s">
        <v>92</v>
      </c>
      <c r="CL89" s="11"/>
      <c r="CM89" s="11" t="s">
        <v>89</v>
      </c>
      <c r="CN89" s="11" t="s">
        <v>90</v>
      </c>
      <c r="CO89" s="11" t="s">
        <v>91</v>
      </c>
      <c r="CP89" s="11">
        <v>1506257</v>
      </c>
      <c r="CQ89" s="11" t="s">
        <v>92</v>
      </c>
      <c r="CT89" s="11"/>
      <c r="CU89" s="11" t="s">
        <v>89</v>
      </c>
      <c r="CV89" s="11" t="s">
        <v>90</v>
      </c>
      <c r="CW89" s="11" t="s">
        <v>91</v>
      </c>
      <c r="CX89" s="11">
        <v>1506257</v>
      </c>
      <c r="CY89" s="11" t="s">
        <v>92</v>
      </c>
      <c r="DB89" s="11"/>
      <c r="DC89" s="11" t="s">
        <v>89</v>
      </c>
      <c r="DD89" s="11" t="s">
        <v>90</v>
      </c>
      <c r="DE89" s="11" t="s">
        <v>91</v>
      </c>
      <c r="DF89" s="11">
        <v>1506257</v>
      </c>
      <c r="DG89" s="11" t="s">
        <v>92</v>
      </c>
      <c r="DJ89" s="11"/>
      <c r="DK89" s="11" t="s">
        <v>89</v>
      </c>
      <c r="DL89" s="11" t="s">
        <v>90</v>
      </c>
      <c r="DM89" s="11" t="s">
        <v>91</v>
      </c>
      <c r="DN89" s="11">
        <v>1506257</v>
      </c>
      <c r="DO89" s="11" t="s">
        <v>92</v>
      </c>
      <c r="DR89" s="11"/>
      <c r="DS89" s="11" t="s">
        <v>89</v>
      </c>
      <c r="DT89" s="11" t="s">
        <v>90</v>
      </c>
      <c r="DU89" s="11" t="s">
        <v>91</v>
      </c>
      <c r="DV89" s="11">
        <v>1506257</v>
      </c>
      <c r="DW89" s="11" t="s">
        <v>92</v>
      </c>
      <c r="DZ89" s="11"/>
      <c r="EA89" s="11" t="s">
        <v>89</v>
      </c>
      <c r="EB89" s="11" t="s">
        <v>90</v>
      </c>
      <c r="EC89" s="11" t="s">
        <v>91</v>
      </c>
      <c r="ED89" s="11">
        <v>1506257</v>
      </c>
      <c r="EE89" s="11" t="s">
        <v>92</v>
      </c>
    </row>
    <row r="90" spans="2:137" s="15" customFormat="1" ht="33" customHeight="1" x14ac:dyDescent="0.25">
      <c r="B90" s="59" t="s">
        <v>1</v>
      </c>
      <c r="C90" s="59"/>
      <c r="D90" s="59"/>
      <c r="E90" s="59"/>
      <c r="F90" s="59"/>
      <c r="G90" s="59"/>
      <c r="H90"/>
      <c r="I90" s="14"/>
      <c r="J90" s="59" t="s">
        <v>2</v>
      </c>
      <c r="K90" s="59"/>
      <c r="L90" s="59"/>
      <c r="M90" s="59"/>
      <c r="N90" s="59"/>
      <c r="O90" s="59"/>
      <c r="P90"/>
      <c r="Q90" s="14"/>
      <c r="R90" s="59" t="s">
        <v>3</v>
      </c>
      <c r="S90" s="59"/>
      <c r="T90" s="59"/>
      <c r="U90" s="59"/>
      <c r="V90" s="59"/>
      <c r="W90" s="59"/>
      <c r="X90"/>
      <c r="Y90" s="14"/>
      <c r="Z90" s="63" t="s">
        <v>4</v>
      </c>
      <c r="AA90" s="63"/>
      <c r="AB90" s="63"/>
      <c r="AC90" s="63"/>
      <c r="AD90" s="63"/>
      <c r="AE90" s="63"/>
      <c r="AF90"/>
      <c r="AG90" s="14"/>
      <c r="AH90" s="59" t="s">
        <v>5</v>
      </c>
      <c r="AI90" s="59"/>
      <c r="AJ90" s="59"/>
      <c r="AK90" s="59"/>
      <c r="AL90" s="59"/>
      <c r="AM90" s="59"/>
      <c r="AN90"/>
      <c r="AO90" s="14"/>
      <c r="AP90" s="59" t="s">
        <v>6</v>
      </c>
      <c r="AQ90" s="59"/>
      <c r="AR90" s="59"/>
      <c r="AS90" s="59"/>
      <c r="AT90" s="59"/>
      <c r="AU90" s="59"/>
      <c r="AV90"/>
      <c r="AW90" s="14"/>
      <c r="AX90" s="59" t="s">
        <v>7</v>
      </c>
      <c r="AY90" s="59"/>
      <c r="AZ90" s="59"/>
      <c r="BA90" s="59"/>
      <c r="BB90" s="59"/>
      <c r="BC90" s="59"/>
      <c r="BD90"/>
      <c r="BE90" s="14"/>
      <c r="BF90" s="59" t="s">
        <v>8</v>
      </c>
      <c r="BG90" s="59"/>
      <c r="BH90" s="59"/>
      <c r="BI90" s="59"/>
      <c r="BJ90" s="59"/>
      <c r="BK90" s="59"/>
      <c r="BL90"/>
      <c r="BM90" s="14"/>
      <c r="BN90" s="59" t="s">
        <v>9</v>
      </c>
      <c r="BO90" s="59"/>
      <c r="BP90" s="59"/>
      <c r="BQ90" s="59"/>
      <c r="BR90" s="59"/>
      <c r="BS90" s="59"/>
      <c r="BT90"/>
      <c r="BU90" s="14"/>
      <c r="BV90" s="59" t="s">
        <v>10</v>
      </c>
      <c r="BW90" s="59"/>
      <c r="BX90" s="59"/>
      <c r="BY90" s="59"/>
      <c r="BZ90" s="59"/>
      <c r="CA90" s="59"/>
      <c r="CB90"/>
      <c r="CC90" s="14"/>
      <c r="CD90" s="59" t="s">
        <v>11</v>
      </c>
      <c r="CE90" s="59"/>
      <c r="CF90" s="59"/>
      <c r="CG90" s="59"/>
      <c r="CH90" s="59"/>
      <c r="CI90" s="59"/>
      <c r="CJ90"/>
      <c r="CK90" s="14"/>
      <c r="CL90" s="59" t="s">
        <v>12</v>
      </c>
      <c r="CM90" s="59"/>
      <c r="CN90" s="59"/>
      <c r="CO90" s="59"/>
      <c r="CP90" s="59"/>
      <c r="CQ90" s="59"/>
      <c r="CR90"/>
      <c r="CS90" s="14"/>
      <c r="CT90" s="59" t="s">
        <v>13</v>
      </c>
      <c r="CU90" s="59"/>
      <c r="CV90" s="59"/>
      <c r="CW90" s="59"/>
      <c r="CX90" s="59"/>
      <c r="CY90" s="59"/>
      <c r="CZ90"/>
      <c r="DA90" s="14"/>
      <c r="DB90" s="59" t="s">
        <v>14</v>
      </c>
      <c r="DC90" s="59"/>
      <c r="DD90" s="59"/>
      <c r="DE90" s="59"/>
      <c r="DF90" s="59"/>
      <c r="DG90" s="59"/>
      <c r="DH90"/>
      <c r="DI90" s="14"/>
      <c r="DJ90" s="63" t="s">
        <v>15</v>
      </c>
      <c r="DK90" s="63"/>
      <c r="DL90" s="63"/>
      <c r="DM90" s="63"/>
      <c r="DN90" s="63"/>
      <c r="DO90" s="63"/>
      <c r="DP90"/>
      <c r="DQ90" s="14"/>
      <c r="DR90" s="59" t="s">
        <v>16</v>
      </c>
      <c r="DS90" s="59"/>
      <c r="DT90" s="59"/>
      <c r="DU90" s="59"/>
      <c r="DV90" s="59"/>
      <c r="DW90" s="59"/>
      <c r="DX90" s="14"/>
      <c r="DY90" s="14"/>
      <c r="DZ90" s="59" t="s">
        <v>17</v>
      </c>
      <c r="EA90" s="59"/>
      <c r="EB90" s="59"/>
      <c r="EC90" s="59"/>
      <c r="ED90" s="59"/>
      <c r="EE90" s="59"/>
    </row>
    <row r="91" spans="2:137" x14ac:dyDescent="0.25">
      <c r="B91" s="64" t="s">
        <v>201</v>
      </c>
      <c r="C91" s="65"/>
      <c r="D91" s="65"/>
      <c r="E91" s="65"/>
      <c r="F91" s="65"/>
      <c r="G91" s="66"/>
      <c r="J91" s="64" t="s">
        <v>201</v>
      </c>
      <c r="K91" s="65"/>
      <c r="L91" s="65"/>
      <c r="M91" s="65"/>
      <c r="N91" s="65"/>
      <c r="O91" s="66"/>
      <c r="Q91" s="12"/>
      <c r="R91" s="64" t="s">
        <v>201</v>
      </c>
      <c r="S91" s="65"/>
      <c r="T91" s="65"/>
      <c r="U91" s="65"/>
      <c r="V91" s="65"/>
      <c r="W91" s="66"/>
      <c r="Y91" s="12"/>
      <c r="Z91" s="64" t="s">
        <v>201</v>
      </c>
      <c r="AA91" s="65"/>
      <c r="AB91" s="65"/>
      <c r="AC91" s="65"/>
      <c r="AD91" s="65"/>
      <c r="AE91" s="66"/>
      <c r="AG91" s="12"/>
      <c r="AH91" s="64" t="s">
        <v>201</v>
      </c>
      <c r="AI91" s="65"/>
      <c r="AJ91" s="65"/>
      <c r="AK91" s="65"/>
      <c r="AL91" s="65"/>
      <c r="AM91" s="66"/>
      <c r="AO91" s="12"/>
      <c r="AP91" s="64" t="s">
        <v>201</v>
      </c>
      <c r="AQ91" s="65"/>
      <c r="AR91" s="65"/>
      <c r="AS91" s="65"/>
      <c r="AT91" s="65"/>
      <c r="AU91" s="66"/>
      <c r="AW91" s="12"/>
      <c r="AX91" s="64" t="s">
        <v>201</v>
      </c>
      <c r="AY91" s="65"/>
      <c r="AZ91" s="65"/>
      <c r="BA91" s="65"/>
      <c r="BB91" s="65"/>
      <c r="BC91" s="66"/>
      <c r="BE91" s="12"/>
      <c r="BF91" s="64" t="s">
        <v>201</v>
      </c>
      <c r="BG91" s="65"/>
      <c r="BH91" s="65"/>
      <c r="BI91" s="65"/>
      <c r="BJ91" s="65"/>
      <c r="BK91" s="66"/>
      <c r="BM91" s="12"/>
      <c r="BN91" s="64" t="s">
        <v>201</v>
      </c>
      <c r="BO91" s="65"/>
      <c r="BP91" s="65"/>
      <c r="BQ91" s="65"/>
      <c r="BR91" s="65"/>
      <c r="BS91" s="66"/>
      <c r="BU91" s="12"/>
      <c r="BV91" s="64" t="s">
        <v>201</v>
      </c>
      <c r="BW91" s="65"/>
      <c r="BX91" s="65"/>
      <c r="BY91" s="65"/>
      <c r="BZ91" s="65"/>
      <c r="CA91" s="66"/>
      <c r="CC91" s="12"/>
      <c r="CD91" s="64" t="s">
        <v>201</v>
      </c>
      <c r="CE91" s="65"/>
      <c r="CF91" s="65"/>
      <c r="CG91" s="65"/>
      <c r="CH91" s="65"/>
      <c r="CI91" s="66"/>
      <c r="CK91" s="12"/>
      <c r="CL91" s="64" t="s">
        <v>201</v>
      </c>
      <c r="CM91" s="65"/>
      <c r="CN91" s="65"/>
      <c r="CO91" s="65"/>
      <c r="CP91" s="65"/>
      <c r="CQ91" s="66"/>
      <c r="CS91" s="12"/>
      <c r="CT91" s="64" t="s">
        <v>201</v>
      </c>
      <c r="CU91" s="65"/>
      <c r="CV91" s="65"/>
      <c r="CW91" s="65"/>
      <c r="CX91" s="65"/>
      <c r="CY91" s="66"/>
      <c r="DA91" s="12"/>
      <c r="DB91" s="64" t="s">
        <v>201</v>
      </c>
      <c r="DC91" s="65"/>
      <c r="DD91" s="65"/>
      <c r="DE91" s="65"/>
      <c r="DF91" s="65"/>
      <c r="DG91" s="66"/>
      <c r="DI91" s="12"/>
      <c r="DJ91" s="64" t="s">
        <v>201</v>
      </c>
      <c r="DK91" s="65"/>
      <c r="DL91" s="65"/>
      <c r="DM91" s="65"/>
      <c r="DN91" s="65"/>
      <c r="DO91" s="66"/>
      <c r="DQ91" s="12"/>
      <c r="DR91" s="64" t="s">
        <v>201</v>
      </c>
      <c r="DS91" s="65"/>
      <c r="DT91" s="65"/>
      <c r="DU91" s="65"/>
      <c r="DV91" s="65"/>
      <c r="DW91" s="66"/>
      <c r="DY91" s="12"/>
      <c r="DZ91" s="64" t="s">
        <v>201</v>
      </c>
      <c r="EA91" s="65"/>
      <c r="EB91" s="65"/>
      <c r="EC91" s="65"/>
      <c r="ED91" s="65"/>
      <c r="EE91" s="66"/>
      <c r="EG91" s="12"/>
    </row>
    <row r="92" spans="2:137" s="7" customFormat="1" x14ac:dyDescent="0.25">
      <c r="C92" s="7">
        <v>83</v>
      </c>
      <c r="D92" s="7">
        <v>150</v>
      </c>
      <c r="E92" s="7">
        <v>230</v>
      </c>
      <c r="F92" s="7">
        <v>186</v>
      </c>
      <c r="G92" s="7">
        <v>213</v>
      </c>
      <c r="I92" s="10"/>
      <c r="K92" s="7">
        <v>327.661</v>
      </c>
      <c r="L92" s="7">
        <v>353.423</v>
      </c>
      <c r="M92" s="7">
        <v>481.07900000000001</v>
      </c>
      <c r="N92" s="7">
        <v>367.19900000000001</v>
      </c>
      <c r="O92" s="7">
        <v>399.596</v>
      </c>
      <c r="S92" s="7">
        <v>3.948</v>
      </c>
      <c r="T92" s="7">
        <v>2.3559999999999999</v>
      </c>
      <c r="U92" s="7">
        <v>2.0920000000000001</v>
      </c>
      <c r="V92" s="7">
        <v>1.974</v>
      </c>
      <c r="W92" s="7">
        <v>1.8759999999999999</v>
      </c>
      <c r="AA92" s="7">
        <v>1441.6130000000001</v>
      </c>
      <c r="AB92" s="7">
        <v>1645.883</v>
      </c>
      <c r="AC92" s="7">
        <v>2188.0700000000002</v>
      </c>
      <c r="AD92" s="7">
        <v>1760.248</v>
      </c>
      <c r="AE92" s="7">
        <v>1899.816</v>
      </c>
      <c r="AI92" s="7">
        <v>17.369</v>
      </c>
      <c r="AJ92" s="7">
        <v>10.973000000000001</v>
      </c>
      <c r="AK92" s="7">
        <v>9.5129999999999999</v>
      </c>
      <c r="AL92" s="7">
        <v>9.4640000000000004</v>
      </c>
      <c r="AM92" s="7">
        <v>8.9190000000000005</v>
      </c>
      <c r="AQ92" s="7">
        <v>4.3730000000000002</v>
      </c>
      <c r="AR92" s="7">
        <v>3.8759999999999999</v>
      </c>
      <c r="AS92" s="7">
        <v>3.621</v>
      </c>
      <c r="AT92" s="7">
        <v>3.3839999999999999</v>
      </c>
      <c r="AU92" s="7">
        <v>3.488</v>
      </c>
      <c r="AY92" s="7">
        <v>6.2590000000000003</v>
      </c>
      <c r="AZ92" s="7">
        <v>4.1870000000000003</v>
      </c>
      <c r="BA92" s="7">
        <v>3.5529999999999999</v>
      </c>
      <c r="BB92" s="7">
        <v>3.7120000000000002</v>
      </c>
      <c r="BC92" s="7">
        <v>3.4670000000000001</v>
      </c>
      <c r="BG92" s="7">
        <v>185</v>
      </c>
      <c r="BH92" s="7">
        <v>281</v>
      </c>
      <c r="BI92" s="7">
        <v>377</v>
      </c>
      <c r="BJ92" s="7">
        <v>311</v>
      </c>
      <c r="BK92" s="7">
        <v>345</v>
      </c>
      <c r="BO92" s="7">
        <v>2.2290000000000001</v>
      </c>
      <c r="BP92" s="7">
        <v>1.873</v>
      </c>
      <c r="BQ92" s="7">
        <v>1.639</v>
      </c>
      <c r="BR92" s="7">
        <v>1.6719999999999999</v>
      </c>
      <c r="BS92" s="7">
        <v>1.62</v>
      </c>
      <c r="BW92" s="7">
        <v>698.49699999999996</v>
      </c>
      <c r="BX92" s="7">
        <v>699.14200000000005</v>
      </c>
      <c r="BY92" s="7">
        <v>894.80499999999995</v>
      </c>
      <c r="BZ92" s="7">
        <v>729.19200000000001</v>
      </c>
      <c r="CA92" s="7">
        <v>782.26</v>
      </c>
      <c r="CE92" s="7">
        <v>8.4160000000000004</v>
      </c>
      <c r="CF92" s="7">
        <v>4.6609999999999996</v>
      </c>
      <c r="CG92" s="7">
        <v>3.89</v>
      </c>
      <c r="CH92" s="7">
        <v>3.92</v>
      </c>
      <c r="CI92" s="7">
        <v>3.673</v>
      </c>
      <c r="CM92" s="7">
        <v>3.7759999999999998</v>
      </c>
      <c r="CN92" s="7">
        <v>2.488</v>
      </c>
      <c r="CO92" s="7">
        <v>2.3730000000000002</v>
      </c>
      <c r="CP92" s="7">
        <v>2.3450000000000002</v>
      </c>
      <c r="CQ92" s="7">
        <v>2.2669999999999999</v>
      </c>
      <c r="CU92" s="7">
        <v>54</v>
      </c>
      <c r="CV92" s="7">
        <v>67</v>
      </c>
      <c r="CW92" s="7">
        <v>75</v>
      </c>
      <c r="CX92" s="7">
        <v>63</v>
      </c>
      <c r="CY92" s="7">
        <v>67</v>
      </c>
      <c r="DC92" s="7">
        <v>0.65100000000000002</v>
      </c>
      <c r="DD92" s="7">
        <v>0.44700000000000001</v>
      </c>
      <c r="DE92" s="7">
        <v>0.32600000000000001</v>
      </c>
      <c r="DF92" s="7">
        <v>0.33900000000000002</v>
      </c>
      <c r="DG92" s="7">
        <v>0.315</v>
      </c>
      <c r="DK92" s="7">
        <v>200</v>
      </c>
      <c r="DL92" s="7">
        <v>336</v>
      </c>
      <c r="DM92" s="7">
        <v>504</v>
      </c>
      <c r="DN92" s="7">
        <v>420</v>
      </c>
      <c r="DO92" s="7">
        <v>471</v>
      </c>
      <c r="DS92" s="7">
        <v>2.41</v>
      </c>
      <c r="DT92" s="7">
        <v>2.2400000000000002</v>
      </c>
      <c r="DU92" s="7">
        <v>2.1909999999999998</v>
      </c>
      <c r="DV92" s="7">
        <v>2.258</v>
      </c>
      <c r="DW92" s="7">
        <v>2.2109999999999999</v>
      </c>
      <c r="EA92" s="7">
        <v>0.48199999999999998</v>
      </c>
      <c r="EB92" s="7">
        <v>0.48599999999999999</v>
      </c>
      <c r="EC92" s="7">
        <v>0.5</v>
      </c>
      <c r="ED92" s="7">
        <v>0.48</v>
      </c>
      <c r="EE92" s="7">
        <v>0.48599999999999999</v>
      </c>
    </row>
    <row r="93" spans="2:137" s="7" customFormat="1" x14ac:dyDescent="0.25">
      <c r="C93" s="7">
        <v>92</v>
      </c>
      <c r="D93" s="7">
        <v>178</v>
      </c>
      <c r="E93" s="7">
        <v>258</v>
      </c>
      <c r="F93" s="7">
        <v>190</v>
      </c>
      <c r="G93" s="7">
        <v>105</v>
      </c>
      <c r="I93" s="10"/>
      <c r="K93" s="7">
        <v>240.83699999999999</v>
      </c>
      <c r="L93" s="7">
        <v>494.20600000000002</v>
      </c>
      <c r="M93" s="7">
        <v>502.99299999999999</v>
      </c>
      <c r="N93" s="7">
        <v>345.726</v>
      </c>
      <c r="O93" s="7">
        <v>364.95600000000002</v>
      </c>
      <c r="S93" s="7">
        <v>2.6179999999999999</v>
      </c>
      <c r="T93" s="7">
        <v>2.7759999999999998</v>
      </c>
      <c r="U93" s="7">
        <v>1.95</v>
      </c>
      <c r="V93" s="7">
        <v>1.82</v>
      </c>
      <c r="W93" s="7">
        <v>3.476</v>
      </c>
      <c r="AA93" s="7">
        <v>1073.5060000000001</v>
      </c>
      <c r="AB93" s="7">
        <v>2202.2139999999999</v>
      </c>
      <c r="AC93" s="7">
        <v>2326.4490000000001</v>
      </c>
      <c r="AD93" s="7">
        <v>1696.171</v>
      </c>
      <c r="AE93" s="7">
        <v>1654.49</v>
      </c>
      <c r="AI93" s="7">
        <v>11.669</v>
      </c>
      <c r="AJ93" s="7">
        <v>12.372</v>
      </c>
      <c r="AK93" s="7">
        <v>9.0169999999999995</v>
      </c>
      <c r="AL93" s="7">
        <v>8.9269999999999996</v>
      </c>
      <c r="AM93" s="7">
        <v>15.757</v>
      </c>
      <c r="AQ93" s="7">
        <v>2.661</v>
      </c>
      <c r="AR93" s="7">
        <v>3.7629999999999999</v>
      </c>
      <c r="AS93" s="7">
        <v>3.6909999999999998</v>
      </c>
      <c r="AT93" s="7">
        <v>3.2450000000000001</v>
      </c>
      <c r="AU93" s="7">
        <v>3.6720000000000002</v>
      </c>
      <c r="AY93" s="7">
        <v>4.2779999999999996</v>
      </c>
      <c r="AZ93" s="7">
        <v>4.54</v>
      </c>
      <c r="BA93" s="7">
        <v>3.44</v>
      </c>
      <c r="BB93" s="7">
        <v>3.5840000000000001</v>
      </c>
      <c r="BC93" s="7">
        <v>5.7939999999999996</v>
      </c>
      <c r="BG93" s="7">
        <v>212</v>
      </c>
      <c r="BH93" s="7">
        <v>407</v>
      </c>
      <c r="BI93" s="7">
        <v>378</v>
      </c>
      <c r="BJ93" s="7">
        <v>333</v>
      </c>
      <c r="BK93" s="7">
        <v>253</v>
      </c>
      <c r="BO93" s="7">
        <v>2.3039999999999998</v>
      </c>
      <c r="BP93" s="7">
        <v>2.2869999999999999</v>
      </c>
      <c r="BQ93" s="7">
        <v>1.4650000000000001</v>
      </c>
      <c r="BR93" s="7">
        <v>1.7529999999999999</v>
      </c>
      <c r="BS93" s="7">
        <v>2.41</v>
      </c>
      <c r="BW93" s="7">
        <v>477.40600000000001</v>
      </c>
      <c r="BX93" s="7">
        <v>987.00199999999995</v>
      </c>
      <c r="BY93" s="7">
        <v>938.99300000000005</v>
      </c>
      <c r="BZ93" s="7">
        <v>694.03399999999999</v>
      </c>
      <c r="CA93" s="7">
        <v>749.654</v>
      </c>
      <c r="CE93" s="7">
        <v>5.1890000000000001</v>
      </c>
      <c r="CF93" s="7">
        <v>5.5449999999999999</v>
      </c>
      <c r="CG93" s="7">
        <v>3.64</v>
      </c>
      <c r="CH93" s="7">
        <v>3.653</v>
      </c>
      <c r="CI93" s="7">
        <v>7.14</v>
      </c>
      <c r="CM93" s="7">
        <v>2.2519999999999998</v>
      </c>
      <c r="CN93" s="7">
        <v>2.4249999999999998</v>
      </c>
      <c r="CO93" s="7">
        <v>2.484</v>
      </c>
      <c r="CP93" s="7">
        <v>2.0840000000000001</v>
      </c>
      <c r="CQ93" s="7">
        <v>2.9630000000000001</v>
      </c>
      <c r="CU93" s="7">
        <v>61</v>
      </c>
      <c r="CV93" s="7">
        <v>118</v>
      </c>
      <c r="CW93" s="7">
        <v>61</v>
      </c>
      <c r="CX93" s="7">
        <v>73</v>
      </c>
      <c r="CY93" s="7">
        <v>76</v>
      </c>
      <c r="DC93" s="7">
        <v>0.66300000000000003</v>
      </c>
      <c r="DD93" s="7">
        <v>0.66300000000000003</v>
      </c>
      <c r="DE93" s="7">
        <v>0.23599999999999999</v>
      </c>
      <c r="DF93" s="7">
        <v>0.38400000000000001</v>
      </c>
      <c r="DG93" s="7">
        <v>0.72399999999999998</v>
      </c>
      <c r="DK93" s="7">
        <v>228</v>
      </c>
      <c r="DL93" s="7">
        <v>443</v>
      </c>
      <c r="DM93" s="7">
        <v>542</v>
      </c>
      <c r="DN93" s="7">
        <v>424</v>
      </c>
      <c r="DO93" s="7">
        <v>266</v>
      </c>
      <c r="DS93" s="7">
        <v>2.4780000000000002</v>
      </c>
      <c r="DT93" s="7">
        <v>2.4889999999999999</v>
      </c>
      <c r="DU93" s="7">
        <v>2.101</v>
      </c>
      <c r="DV93" s="7">
        <v>2.2320000000000002</v>
      </c>
      <c r="DW93" s="7">
        <v>2.5329999999999999</v>
      </c>
      <c r="EA93" s="7">
        <v>0.49399999999999999</v>
      </c>
      <c r="EB93" s="7">
        <v>0.48899999999999999</v>
      </c>
      <c r="EC93" s="7">
        <v>0.497</v>
      </c>
      <c r="ED93" s="7">
        <v>0.47</v>
      </c>
      <c r="EE93" s="7">
        <v>0.48899999999999999</v>
      </c>
    </row>
    <row r="94" spans="2:137" s="7" customFormat="1" x14ac:dyDescent="0.25">
      <c r="C94" s="7">
        <v>141</v>
      </c>
      <c r="D94" s="7">
        <v>242</v>
      </c>
      <c r="E94" s="7">
        <v>285</v>
      </c>
      <c r="F94" s="7">
        <v>100</v>
      </c>
      <c r="G94" s="7">
        <v>164</v>
      </c>
      <c r="I94" s="10"/>
      <c r="K94" s="7">
        <v>357.233</v>
      </c>
      <c r="L94" s="7">
        <v>472.94099999999997</v>
      </c>
      <c r="M94" s="7">
        <v>753.25099999999998</v>
      </c>
      <c r="N94" s="7">
        <v>330.52499999999998</v>
      </c>
      <c r="O94" s="7">
        <v>392.23500000000001</v>
      </c>
      <c r="S94" s="7">
        <v>2.5339999999999998</v>
      </c>
      <c r="T94" s="7">
        <v>1.954</v>
      </c>
      <c r="U94" s="7">
        <v>2.6429999999999998</v>
      </c>
      <c r="V94" s="7">
        <v>3.3050000000000002</v>
      </c>
      <c r="W94" s="7">
        <v>2.3919999999999999</v>
      </c>
      <c r="AA94" s="7">
        <v>1578.626</v>
      </c>
      <c r="AB94" s="7">
        <v>2278.54</v>
      </c>
      <c r="AC94" s="7">
        <v>3476.7429999999999</v>
      </c>
      <c r="AD94" s="7">
        <v>1524.0609999999999</v>
      </c>
      <c r="AE94" s="7">
        <v>1732.6030000000001</v>
      </c>
      <c r="AI94" s="7">
        <v>11.196</v>
      </c>
      <c r="AJ94" s="7">
        <v>9.4149999999999991</v>
      </c>
      <c r="AK94" s="7">
        <v>12.199</v>
      </c>
      <c r="AL94" s="7">
        <v>15.241</v>
      </c>
      <c r="AM94" s="7">
        <v>10.565</v>
      </c>
      <c r="AQ94" s="7">
        <v>4.1459999999999999</v>
      </c>
      <c r="AR94" s="7">
        <v>4.1609999999999996</v>
      </c>
      <c r="AS94" s="7">
        <v>3.694</v>
      </c>
      <c r="AT94" s="7">
        <v>3.5920000000000001</v>
      </c>
      <c r="AU94" s="7">
        <v>3.044</v>
      </c>
      <c r="AY94" s="7">
        <v>4.04</v>
      </c>
      <c r="AZ94" s="7">
        <v>3.7210000000000001</v>
      </c>
      <c r="BA94" s="7">
        <v>4.609</v>
      </c>
      <c r="BB94" s="7">
        <v>5.7160000000000002</v>
      </c>
      <c r="BC94" s="7">
        <v>3.879</v>
      </c>
      <c r="BG94" s="7">
        <v>255</v>
      </c>
      <c r="BH94" s="7">
        <v>380</v>
      </c>
      <c r="BI94" s="7">
        <v>613</v>
      </c>
      <c r="BJ94" s="7">
        <v>240</v>
      </c>
      <c r="BK94" s="7">
        <v>333</v>
      </c>
      <c r="BO94" s="7">
        <v>1.8089999999999999</v>
      </c>
      <c r="BP94" s="7">
        <v>1.57</v>
      </c>
      <c r="BQ94" s="7">
        <v>2.1509999999999998</v>
      </c>
      <c r="BR94" s="7">
        <v>2.4</v>
      </c>
      <c r="BS94" s="7">
        <v>2.0299999999999998</v>
      </c>
      <c r="BW94" s="7">
        <v>684.52200000000005</v>
      </c>
      <c r="BX94" s="7">
        <v>944.64200000000005</v>
      </c>
      <c r="BY94" s="7">
        <v>1544.8209999999999</v>
      </c>
      <c r="BZ94" s="7">
        <v>679.19799999999998</v>
      </c>
      <c r="CA94" s="7">
        <v>761.29600000000005</v>
      </c>
      <c r="CE94" s="7">
        <v>4.8550000000000004</v>
      </c>
      <c r="CF94" s="7">
        <v>3.903</v>
      </c>
      <c r="CG94" s="7">
        <v>5.42</v>
      </c>
      <c r="CH94" s="7">
        <v>6.7919999999999998</v>
      </c>
      <c r="CI94" s="7">
        <v>4.6420000000000003</v>
      </c>
      <c r="CM94" s="7">
        <v>2.6840000000000002</v>
      </c>
      <c r="CN94" s="7">
        <v>2.4860000000000002</v>
      </c>
      <c r="CO94" s="7">
        <v>2.52</v>
      </c>
      <c r="CP94" s="7">
        <v>2.83</v>
      </c>
      <c r="CQ94" s="7">
        <v>2.286</v>
      </c>
      <c r="CU94" s="7">
        <v>60</v>
      </c>
      <c r="CV94" s="7">
        <v>70</v>
      </c>
      <c r="CW94" s="7">
        <v>170</v>
      </c>
      <c r="CX94" s="7">
        <v>72</v>
      </c>
      <c r="CY94" s="7">
        <v>89</v>
      </c>
      <c r="DC94" s="7">
        <v>0.42599999999999999</v>
      </c>
      <c r="DD94" s="7">
        <v>0.28899999999999998</v>
      </c>
      <c r="DE94" s="7">
        <v>0.59599999999999997</v>
      </c>
      <c r="DF94" s="7">
        <v>0.72</v>
      </c>
      <c r="DG94" s="7">
        <v>0.54300000000000004</v>
      </c>
      <c r="DK94" s="7">
        <v>318</v>
      </c>
      <c r="DL94" s="7">
        <v>522</v>
      </c>
      <c r="DM94" s="7">
        <v>685</v>
      </c>
      <c r="DN94" s="7">
        <v>247</v>
      </c>
      <c r="DO94" s="7">
        <v>375</v>
      </c>
      <c r="DS94" s="7">
        <v>2.2549999999999999</v>
      </c>
      <c r="DT94" s="7">
        <v>2.157</v>
      </c>
      <c r="DU94" s="7">
        <v>2.4039999999999999</v>
      </c>
      <c r="DV94" s="7">
        <v>2.4700000000000002</v>
      </c>
      <c r="DW94" s="7">
        <v>2.2869999999999999</v>
      </c>
      <c r="EA94" s="7">
        <v>0.501</v>
      </c>
      <c r="EB94" s="7">
        <v>0.48099999999999998</v>
      </c>
      <c r="EC94" s="7">
        <v>0.48199999999999998</v>
      </c>
      <c r="ED94" s="7">
        <v>0.48499999999999999</v>
      </c>
      <c r="EE94" s="7">
        <v>0.496</v>
      </c>
    </row>
    <row r="95" spans="2:137" s="7" customFormat="1" x14ac:dyDescent="0.25">
      <c r="C95" s="7">
        <v>214</v>
      </c>
      <c r="D95" s="7">
        <v>78</v>
      </c>
      <c r="E95" s="7">
        <v>272</v>
      </c>
      <c r="F95" s="7">
        <v>174</v>
      </c>
      <c r="G95" s="7">
        <v>114</v>
      </c>
      <c r="I95" s="10"/>
      <c r="K95" s="7">
        <v>402.74400000000003</v>
      </c>
      <c r="L95" s="7">
        <v>222.22900000000001</v>
      </c>
      <c r="M95" s="7">
        <v>519.15200000000004</v>
      </c>
      <c r="N95" s="7">
        <v>336.70699999999999</v>
      </c>
      <c r="O95" s="7">
        <v>421.31400000000002</v>
      </c>
      <c r="S95" s="7">
        <v>1.8819999999999999</v>
      </c>
      <c r="T95" s="7">
        <v>2.8490000000000002</v>
      </c>
      <c r="U95" s="7">
        <v>1.909</v>
      </c>
      <c r="V95" s="7">
        <v>1.9350000000000001</v>
      </c>
      <c r="W95" s="7">
        <v>3.6960000000000002</v>
      </c>
      <c r="AA95" s="7">
        <v>1938.7249999999999</v>
      </c>
      <c r="AB95" s="7">
        <v>952.11</v>
      </c>
      <c r="AC95" s="7">
        <v>2416.1480000000001</v>
      </c>
      <c r="AD95" s="7">
        <v>1667.722</v>
      </c>
      <c r="AE95" s="7">
        <v>1808.4159999999999</v>
      </c>
      <c r="AI95" s="7">
        <v>9.0589999999999993</v>
      </c>
      <c r="AJ95" s="7">
        <v>12.207000000000001</v>
      </c>
      <c r="AK95" s="7">
        <v>8.8829999999999991</v>
      </c>
      <c r="AL95" s="7">
        <v>9.5850000000000009</v>
      </c>
      <c r="AM95" s="7">
        <v>15.863</v>
      </c>
      <c r="AQ95" s="7">
        <v>3.3319999999999999</v>
      </c>
      <c r="AR95" s="7">
        <v>4.5679999999999996</v>
      </c>
      <c r="AS95" s="7">
        <v>3.456</v>
      </c>
      <c r="AT95" s="7">
        <v>3.4830000000000001</v>
      </c>
      <c r="AU95" s="7">
        <v>3.5270000000000001</v>
      </c>
      <c r="AY95" s="7">
        <v>3.59</v>
      </c>
      <c r="AZ95" s="7">
        <v>4.3109999999999999</v>
      </c>
      <c r="BA95" s="7">
        <v>3.4079999999999999</v>
      </c>
      <c r="BB95" s="7">
        <v>3.875</v>
      </c>
      <c r="BC95" s="7">
        <v>5.5990000000000002</v>
      </c>
      <c r="BG95" s="7">
        <v>408</v>
      </c>
      <c r="BH95" s="7">
        <v>168</v>
      </c>
      <c r="BI95" s="7">
        <v>460</v>
      </c>
      <c r="BJ95" s="7">
        <v>283</v>
      </c>
      <c r="BK95" s="7">
        <v>332</v>
      </c>
      <c r="BO95" s="7">
        <v>1.907</v>
      </c>
      <c r="BP95" s="7">
        <v>2.1539999999999999</v>
      </c>
      <c r="BQ95" s="7">
        <v>1.6910000000000001</v>
      </c>
      <c r="BR95" s="7">
        <v>1.6259999999999999</v>
      </c>
      <c r="BS95" s="7">
        <v>2.9119999999999999</v>
      </c>
      <c r="BW95" s="7">
        <v>819.55700000000002</v>
      </c>
      <c r="BX95" s="7">
        <v>437.06400000000002</v>
      </c>
      <c r="BY95" s="7">
        <v>998.44399999999996</v>
      </c>
      <c r="BZ95" s="7">
        <v>698.072</v>
      </c>
      <c r="CA95" s="7">
        <v>876.05399999999997</v>
      </c>
      <c r="CE95" s="7">
        <v>3.83</v>
      </c>
      <c r="CF95" s="7">
        <v>5.6029999999999998</v>
      </c>
      <c r="CG95" s="7">
        <v>3.6709999999999998</v>
      </c>
      <c r="CH95" s="7">
        <v>4.0119999999999996</v>
      </c>
      <c r="CI95" s="7">
        <v>7.6849999999999996</v>
      </c>
      <c r="CM95" s="7">
        <v>2.0089999999999999</v>
      </c>
      <c r="CN95" s="7">
        <v>2.6019999999999999</v>
      </c>
      <c r="CO95" s="7">
        <v>2.1709999999999998</v>
      </c>
      <c r="CP95" s="7">
        <v>2.4670000000000001</v>
      </c>
      <c r="CQ95" s="7">
        <v>2.6389999999999998</v>
      </c>
      <c r="CU95" s="7">
        <v>99</v>
      </c>
      <c r="CV95" s="7">
        <v>47</v>
      </c>
      <c r="CW95" s="7">
        <v>97</v>
      </c>
      <c r="CX95" s="7">
        <v>56</v>
      </c>
      <c r="CY95" s="7">
        <v>114</v>
      </c>
      <c r="DC95" s="7">
        <v>0.46300000000000002</v>
      </c>
      <c r="DD95" s="7">
        <v>0.60299999999999998</v>
      </c>
      <c r="DE95" s="7">
        <v>0.35699999999999998</v>
      </c>
      <c r="DF95" s="7">
        <v>0.32200000000000001</v>
      </c>
      <c r="DG95" s="7">
        <v>1</v>
      </c>
      <c r="DK95" s="7">
        <v>499</v>
      </c>
      <c r="DL95" s="7">
        <v>188</v>
      </c>
      <c r="DM95" s="7">
        <v>604</v>
      </c>
      <c r="DN95" s="7">
        <v>381</v>
      </c>
      <c r="DO95" s="7">
        <v>305</v>
      </c>
      <c r="DS95" s="7">
        <v>2.3319999999999999</v>
      </c>
      <c r="DT95" s="7">
        <v>2.41</v>
      </c>
      <c r="DU95" s="7">
        <v>2.2210000000000001</v>
      </c>
      <c r="DV95" s="7">
        <v>2.19</v>
      </c>
      <c r="DW95" s="7">
        <v>2.6749999999999998</v>
      </c>
      <c r="EA95" s="7">
        <v>0.47599999999999998</v>
      </c>
      <c r="EB95" s="7">
        <v>0.50700000000000001</v>
      </c>
      <c r="EC95" s="7">
        <v>0.49199999999999999</v>
      </c>
      <c r="ED95" s="7">
        <v>0.46700000000000003</v>
      </c>
      <c r="EE95" s="7">
        <v>0.49</v>
      </c>
    </row>
    <row r="96" spans="2:137" s="7" customFormat="1" x14ac:dyDescent="0.25">
      <c r="C96" s="7">
        <v>153</v>
      </c>
      <c r="D96" s="7">
        <v>228</v>
      </c>
      <c r="E96" s="7">
        <v>171</v>
      </c>
      <c r="F96" s="7">
        <v>141</v>
      </c>
      <c r="G96" s="7">
        <v>117</v>
      </c>
      <c r="I96" s="10"/>
      <c r="K96" s="7">
        <v>318.88799999999998</v>
      </c>
      <c r="L96" s="7">
        <v>438.45699999999999</v>
      </c>
      <c r="M96" s="7">
        <v>482.245</v>
      </c>
      <c r="N96" s="7">
        <v>342.96600000000001</v>
      </c>
      <c r="O96" s="7">
        <v>331.57499999999999</v>
      </c>
      <c r="S96" s="7">
        <v>2.0840000000000001</v>
      </c>
      <c r="T96" s="7">
        <v>1.923</v>
      </c>
      <c r="U96" s="7">
        <v>2.82</v>
      </c>
      <c r="V96" s="7">
        <v>2.4319999999999999</v>
      </c>
      <c r="W96" s="7">
        <v>2.8340000000000001</v>
      </c>
      <c r="AA96" s="7">
        <v>1506.941</v>
      </c>
      <c r="AB96" s="7">
        <v>2077.982</v>
      </c>
      <c r="AC96" s="7">
        <v>2141.5650000000001</v>
      </c>
      <c r="AD96" s="7">
        <v>1551.423</v>
      </c>
      <c r="AE96" s="7">
        <v>1385.432</v>
      </c>
      <c r="AI96" s="7">
        <v>9.8490000000000002</v>
      </c>
      <c r="AJ96" s="7">
        <v>9.1140000000000008</v>
      </c>
      <c r="AK96" s="7">
        <v>12.523999999999999</v>
      </c>
      <c r="AL96" s="7">
        <v>11.003</v>
      </c>
      <c r="AM96" s="7">
        <v>11.840999999999999</v>
      </c>
      <c r="AQ96" s="7">
        <v>3.3580000000000001</v>
      </c>
      <c r="AR96" s="7">
        <v>4.0129999999999999</v>
      </c>
      <c r="AS96" s="7">
        <v>3.71</v>
      </c>
      <c r="AT96" s="7">
        <v>2.9169999999999998</v>
      </c>
      <c r="AU96" s="7">
        <v>2.335</v>
      </c>
      <c r="AY96" s="7">
        <v>3.8029999999999999</v>
      </c>
      <c r="AZ96" s="7">
        <v>3.5630000000000002</v>
      </c>
      <c r="BA96" s="7">
        <v>4.5309999999999997</v>
      </c>
      <c r="BB96" s="7">
        <v>4.0970000000000004</v>
      </c>
      <c r="BC96" s="7">
        <v>4.149</v>
      </c>
      <c r="BG96" s="7">
        <v>269</v>
      </c>
      <c r="BH96" s="7">
        <v>373</v>
      </c>
      <c r="BI96" s="7">
        <v>358</v>
      </c>
      <c r="BJ96" s="7">
        <v>298</v>
      </c>
      <c r="BK96" s="7">
        <v>310</v>
      </c>
      <c r="BO96" s="7">
        <v>1.758</v>
      </c>
      <c r="BP96" s="7">
        <v>1.6359999999999999</v>
      </c>
      <c r="BQ96" s="7">
        <v>2.0939999999999999</v>
      </c>
      <c r="BR96" s="7">
        <v>2.113</v>
      </c>
      <c r="BS96" s="7">
        <v>2.65</v>
      </c>
      <c r="BW96" s="7">
        <v>628.37900000000002</v>
      </c>
      <c r="BX96" s="7">
        <v>882.04100000000005</v>
      </c>
      <c r="BY96" s="7">
        <v>935.97500000000002</v>
      </c>
      <c r="BZ96" s="7">
        <v>678.26499999999999</v>
      </c>
      <c r="CA96" s="7">
        <v>649.36599999999999</v>
      </c>
      <c r="CE96" s="7">
        <v>4.1070000000000002</v>
      </c>
      <c r="CF96" s="7">
        <v>3.8690000000000002</v>
      </c>
      <c r="CG96" s="7">
        <v>5.4740000000000002</v>
      </c>
      <c r="CH96" s="7">
        <v>4.8099999999999996</v>
      </c>
      <c r="CI96" s="7">
        <v>5.55</v>
      </c>
      <c r="CM96" s="7">
        <v>2.3359999999999999</v>
      </c>
      <c r="CN96" s="7">
        <v>2.3650000000000002</v>
      </c>
      <c r="CO96" s="7">
        <v>2.6139999999999999</v>
      </c>
      <c r="CP96" s="7">
        <v>2.2759999999999998</v>
      </c>
      <c r="CQ96" s="7">
        <v>2.0950000000000002</v>
      </c>
      <c r="CU96" s="7">
        <v>59</v>
      </c>
      <c r="CV96" s="7">
        <v>75</v>
      </c>
      <c r="CW96" s="7">
        <v>99</v>
      </c>
      <c r="CX96" s="7">
        <v>81</v>
      </c>
      <c r="CY96" s="7">
        <v>102</v>
      </c>
      <c r="DC96" s="7">
        <v>0.38600000000000001</v>
      </c>
      <c r="DD96" s="7">
        <v>0.32900000000000001</v>
      </c>
      <c r="DE96" s="7">
        <v>0.57899999999999996</v>
      </c>
      <c r="DF96" s="7">
        <v>0.57399999999999995</v>
      </c>
      <c r="DG96" s="7">
        <v>0.872</v>
      </c>
      <c r="DK96" s="7">
        <v>349</v>
      </c>
      <c r="DL96" s="7">
        <v>491</v>
      </c>
      <c r="DM96" s="7">
        <v>393</v>
      </c>
      <c r="DN96" s="7">
        <v>339</v>
      </c>
      <c r="DO96" s="7">
        <v>296</v>
      </c>
      <c r="DS96" s="7">
        <v>2.2810000000000001</v>
      </c>
      <c r="DT96" s="7">
        <v>2.1539999999999999</v>
      </c>
      <c r="DU96" s="7">
        <v>2.298</v>
      </c>
      <c r="DV96" s="7">
        <v>2.4039999999999999</v>
      </c>
      <c r="DW96" s="7">
        <v>2.5299999999999998</v>
      </c>
      <c r="EA96" s="7">
        <v>0.48599999999999999</v>
      </c>
      <c r="EB96" s="7">
        <v>0.48399999999999999</v>
      </c>
      <c r="EC96" s="7">
        <v>0.5</v>
      </c>
      <c r="ED96" s="7">
        <v>0.48699999999999999</v>
      </c>
      <c r="EE96" s="7">
        <v>0.497</v>
      </c>
    </row>
    <row r="97" spans="3:132" s="7" customFormat="1" x14ac:dyDescent="0.25">
      <c r="C97" s="7">
        <v>120</v>
      </c>
      <c r="D97" s="7">
        <v>177</v>
      </c>
      <c r="I97" s="10"/>
      <c r="K97" s="7">
        <v>352.73599999999999</v>
      </c>
      <c r="L97" s="7">
        <v>446.81700000000001</v>
      </c>
      <c r="S97" s="7">
        <v>2.9390000000000001</v>
      </c>
      <c r="T97" s="7">
        <v>2.524</v>
      </c>
      <c r="AA97" s="7">
        <v>1664.8330000000001</v>
      </c>
      <c r="AB97" s="7">
        <v>2058.6109999999999</v>
      </c>
      <c r="AI97" s="7">
        <v>13.874000000000001</v>
      </c>
      <c r="AJ97" s="7">
        <v>11.631</v>
      </c>
      <c r="AQ97" s="7">
        <v>3.3650000000000002</v>
      </c>
      <c r="AR97" s="7">
        <v>3.8069999999999999</v>
      </c>
      <c r="AY97" s="7">
        <v>5.3129999999999997</v>
      </c>
      <c r="AZ97" s="7">
        <v>4.3979999999999997</v>
      </c>
      <c r="BG97" s="7">
        <v>249</v>
      </c>
      <c r="BH97" s="7">
        <v>340</v>
      </c>
      <c r="BO97" s="7">
        <v>2.0750000000000002</v>
      </c>
      <c r="BP97" s="7">
        <v>1.921</v>
      </c>
      <c r="BW97" s="7">
        <v>727.92399999999998</v>
      </c>
      <c r="BX97" s="7">
        <v>921.36800000000005</v>
      </c>
      <c r="CE97" s="7">
        <v>6.0659999999999998</v>
      </c>
      <c r="CF97" s="7">
        <v>5.2050000000000001</v>
      </c>
      <c r="CM97" s="7">
        <v>2.923</v>
      </c>
      <c r="CN97" s="7">
        <v>2.71</v>
      </c>
      <c r="CU97" s="7">
        <v>64</v>
      </c>
      <c r="CV97" s="7">
        <v>83</v>
      </c>
      <c r="DC97" s="7">
        <v>0.53300000000000003</v>
      </c>
      <c r="DD97" s="7">
        <v>0.46899999999999997</v>
      </c>
      <c r="DK97" s="7">
        <v>296</v>
      </c>
      <c r="DL97" s="7">
        <v>418</v>
      </c>
      <c r="DS97" s="7">
        <v>2.4670000000000001</v>
      </c>
      <c r="DT97" s="7">
        <v>2.3620000000000001</v>
      </c>
      <c r="EA97" s="7">
        <v>0.48099999999999998</v>
      </c>
      <c r="EB97" s="7">
        <v>0.48</v>
      </c>
    </row>
    <row r="98" spans="3:132" s="7" customFormat="1" x14ac:dyDescent="0.25">
      <c r="C98" s="7">
        <v>148</v>
      </c>
      <c r="D98" s="7">
        <v>252</v>
      </c>
      <c r="I98" s="10"/>
      <c r="K98" s="7">
        <v>434.99900000000002</v>
      </c>
      <c r="L98" s="7">
        <v>341.63099999999997</v>
      </c>
      <c r="S98" s="7">
        <v>2.9390000000000001</v>
      </c>
      <c r="T98" s="7">
        <v>1.3560000000000001</v>
      </c>
      <c r="AA98" s="7">
        <v>1804.4290000000001</v>
      </c>
      <c r="AB98" s="7">
        <v>1703.752</v>
      </c>
      <c r="AI98" s="7">
        <v>12.192</v>
      </c>
      <c r="AJ98" s="7">
        <v>6.7610000000000001</v>
      </c>
      <c r="AQ98" s="7">
        <v>2.589</v>
      </c>
      <c r="AR98" s="7">
        <v>3.12</v>
      </c>
      <c r="AY98" s="7">
        <v>4.2270000000000003</v>
      </c>
      <c r="AZ98" s="7">
        <v>2.7909999999999999</v>
      </c>
      <c r="BG98" s="7">
        <v>431</v>
      </c>
      <c r="BH98" s="7">
        <v>355</v>
      </c>
      <c r="BO98" s="7">
        <v>2.9119999999999999</v>
      </c>
      <c r="BP98" s="7">
        <v>1.409</v>
      </c>
      <c r="BW98" s="7">
        <v>879.59900000000005</v>
      </c>
      <c r="BX98" s="7">
        <v>643.32100000000003</v>
      </c>
      <c r="CE98" s="7">
        <v>5.9429999999999996</v>
      </c>
      <c r="CF98" s="7">
        <v>2.5529999999999999</v>
      </c>
      <c r="CM98" s="7">
        <v>2.0409999999999999</v>
      </c>
      <c r="CN98" s="7">
        <v>1.8120000000000001</v>
      </c>
      <c r="CU98" s="7">
        <v>154</v>
      </c>
      <c r="CV98" s="7">
        <v>52</v>
      </c>
      <c r="DC98" s="7">
        <v>1.0409999999999999</v>
      </c>
      <c r="DD98" s="7">
        <v>0.20599999999999999</v>
      </c>
      <c r="DK98" s="7">
        <v>385</v>
      </c>
      <c r="DL98" s="7">
        <v>522</v>
      </c>
      <c r="DS98" s="7">
        <v>2.601</v>
      </c>
      <c r="DT98" s="7">
        <v>2.0710000000000002</v>
      </c>
      <c r="EA98" s="7">
        <v>0.49299999999999999</v>
      </c>
      <c r="EB98" s="7">
        <v>0.47599999999999998</v>
      </c>
    </row>
    <row r="99" spans="3:132" s="7" customFormat="1" x14ac:dyDescent="0.25">
      <c r="C99" s="7">
        <v>171</v>
      </c>
      <c r="I99" s="10"/>
      <c r="K99" s="7">
        <v>307.87299999999999</v>
      </c>
      <c r="S99" s="7">
        <v>1.8</v>
      </c>
      <c r="AA99" s="7">
        <v>1393.7180000000001</v>
      </c>
      <c r="AI99" s="7">
        <v>8.15</v>
      </c>
      <c r="AQ99" s="7">
        <v>2.5470000000000002</v>
      </c>
      <c r="AY99" s="7">
        <v>3.0990000000000002</v>
      </c>
      <c r="BG99" s="7">
        <v>322</v>
      </c>
      <c r="BO99" s="7">
        <v>1.883</v>
      </c>
      <c r="BW99" s="7">
        <v>592.12</v>
      </c>
      <c r="CE99" s="7">
        <v>3.4630000000000001</v>
      </c>
      <c r="CM99" s="7">
        <v>1.839</v>
      </c>
      <c r="CU99" s="7">
        <v>78</v>
      </c>
      <c r="DC99" s="7">
        <v>0.45600000000000002</v>
      </c>
      <c r="DK99" s="7">
        <v>389</v>
      </c>
      <c r="DS99" s="7">
        <v>2.2749999999999999</v>
      </c>
      <c r="EA99" s="7">
        <v>0.48399999999999999</v>
      </c>
    </row>
  </sheetData>
  <mergeCells count="119">
    <mergeCell ref="DB91:DG91"/>
    <mergeCell ref="DJ91:DO91"/>
    <mergeCell ref="DR91:DW91"/>
    <mergeCell ref="DZ91:EE91"/>
    <mergeCell ref="DJ90:DO90"/>
    <mergeCell ref="DR90:DW90"/>
    <mergeCell ref="DZ90:EE90"/>
    <mergeCell ref="B91:G91"/>
    <mergeCell ref="J91:O91"/>
    <mergeCell ref="R91:W91"/>
    <mergeCell ref="Z91:AE91"/>
    <mergeCell ref="AH91:AM91"/>
    <mergeCell ref="AP91:AU91"/>
    <mergeCell ref="AX91:BC91"/>
    <mergeCell ref="BF91:BK91"/>
    <mergeCell ref="BN91:BS91"/>
    <mergeCell ref="BV91:CA91"/>
    <mergeCell ref="CD91:CI91"/>
    <mergeCell ref="CL91:CQ91"/>
    <mergeCell ref="CT91:CY91"/>
    <mergeCell ref="B90:G90"/>
    <mergeCell ref="J90:O90"/>
    <mergeCell ref="R90:W90"/>
    <mergeCell ref="Z90:AE90"/>
    <mergeCell ref="DB80:DG80"/>
    <mergeCell ref="CD79:CI79"/>
    <mergeCell ref="CL79:CQ79"/>
    <mergeCell ref="CT79:CY79"/>
    <mergeCell ref="DB79:DG79"/>
    <mergeCell ref="AH90:AM90"/>
    <mergeCell ref="AP90:AU90"/>
    <mergeCell ref="AX90:BC90"/>
    <mergeCell ref="BF90:BK90"/>
    <mergeCell ref="BN90:BS90"/>
    <mergeCell ref="BV90:CA90"/>
    <mergeCell ref="CD90:CI90"/>
    <mergeCell ref="CL90:CQ90"/>
    <mergeCell ref="CT90:CY90"/>
    <mergeCell ref="B79:G79"/>
    <mergeCell ref="J79:O79"/>
    <mergeCell ref="R79:W79"/>
    <mergeCell ref="Z79:AE79"/>
    <mergeCell ref="AH79:AM79"/>
    <mergeCell ref="DB90:DG90"/>
    <mergeCell ref="DJ80:DO80"/>
    <mergeCell ref="DR80:DW80"/>
    <mergeCell ref="DZ80:EE80"/>
    <mergeCell ref="DR79:DW79"/>
    <mergeCell ref="DZ79:EE79"/>
    <mergeCell ref="B80:G80"/>
    <mergeCell ref="J80:O80"/>
    <mergeCell ref="R80:W80"/>
    <mergeCell ref="Z80:AE80"/>
    <mergeCell ref="AH80:AM80"/>
    <mergeCell ref="AP80:AU80"/>
    <mergeCell ref="AX80:BC80"/>
    <mergeCell ref="BF80:BK80"/>
    <mergeCell ref="BN80:BS80"/>
    <mergeCell ref="BV80:CA80"/>
    <mergeCell ref="CD80:CI80"/>
    <mergeCell ref="CL80:CQ80"/>
    <mergeCell ref="CT80:CY80"/>
    <mergeCell ref="AH67:AM67"/>
    <mergeCell ref="DJ79:DO79"/>
    <mergeCell ref="AP79:AU79"/>
    <mergeCell ref="AX79:BC79"/>
    <mergeCell ref="BF79:BK79"/>
    <mergeCell ref="BN79:BS79"/>
    <mergeCell ref="BV79:CA79"/>
    <mergeCell ref="BV67:CA67"/>
    <mergeCell ref="BV68:CA68"/>
    <mergeCell ref="DZ2:EE2"/>
    <mergeCell ref="B67:G67"/>
    <mergeCell ref="B68:G68"/>
    <mergeCell ref="B2:G2"/>
    <mergeCell ref="J2:O2"/>
    <mergeCell ref="R2:W2"/>
    <mergeCell ref="AH2:AM2"/>
    <mergeCell ref="AP2:AU2"/>
    <mergeCell ref="AX2:BC2"/>
    <mergeCell ref="BF2:BK2"/>
    <mergeCell ref="BN2:BS2"/>
    <mergeCell ref="BV2:CA2"/>
    <mergeCell ref="CD2:CI2"/>
    <mergeCell ref="CL2:CQ2"/>
    <mergeCell ref="CT2:CY2"/>
    <mergeCell ref="DJ67:DO67"/>
    <mergeCell ref="DR2:DW2"/>
    <mergeCell ref="J67:O67"/>
    <mergeCell ref="J68:O68"/>
    <mergeCell ref="R67:W67"/>
    <mergeCell ref="R68:W68"/>
    <mergeCell ref="DZ67:EE67"/>
    <mergeCell ref="DZ68:EE68"/>
    <mergeCell ref="Z67:AE67"/>
    <mergeCell ref="Z2:AE2"/>
    <mergeCell ref="DB67:DG67"/>
    <mergeCell ref="DB68:DG68"/>
    <mergeCell ref="DJ68:DO68"/>
    <mergeCell ref="DR67:DW67"/>
    <mergeCell ref="DR68:DW68"/>
    <mergeCell ref="CD67:CI67"/>
    <mergeCell ref="CD68:CI68"/>
    <mergeCell ref="CL67:CQ67"/>
    <mergeCell ref="CL68:CQ68"/>
    <mergeCell ref="CT67:CY67"/>
    <mergeCell ref="CT68:CY68"/>
    <mergeCell ref="BF68:BK68"/>
    <mergeCell ref="AH68:AM68"/>
    <mergeCell ref="AP67:AU67"/>
    <mergeCell ref="AP68:AU68"/>
    <mergeCell ref="AX67:BC67"/>
    <mergeCell ref="AX68:BC68"/>
    <mergeCell ref="BF67:BK67"/>
    <mergeCell ref="DJ2:DO2"/>
    <mergeCell ref="BN67:BS67"/>
    <mergeCell ref="BN68:BS68"/>
    <mergeCell ref="DB2:DG2"/>
    <mergeCell ref="Z68:AE6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parámetros</vt:lpstr>
      <vt:lpstr>Control</vt:lpstr>
      <vt:lpstr>MT8740</vt:lpstr>
      <vt:lpstr>MT7683</vt:lpstr>
      <vt:lpstr>MT3373</vt:lpstr>
      <vt:lpstr>1506257</vt:lpstr>
      <vt:lpstr>EXT202203</vt:lpstr>
      <vt:lpstr>ANALISIS</vt:lpstr>
    </vt:vector>
  </TitlesOfParts>
  <Company>HSJDBCN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Uliana Musokhranova</dc:creator>
  <cp:lastModifiedBy>Uliana Musokhranova</cp:lastModifiedBy>
  <dcterms:created xsi:type="dcterms:W3CDTF">2022-03-14T14:36:17Z</dcterms:created>
  <dcterms:modified xsi:type="dcterms:W3CDTF">2024-04-15T16:09:55Z</dcterms:modified>
</cp:coreProperties>
</file>